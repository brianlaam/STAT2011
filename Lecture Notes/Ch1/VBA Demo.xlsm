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ocuhk-my.sharepoint.com/personal/mingouyang_cuhk_edu_hk/Documents/Desktop/STAT 2011/"/>
    </mc:Choice>
  </mc:AlternateContent>
  <xr:revisionPtr revIDLastSave="3982" documentId="8_{214F50D0-5A6E-4C48-8B6D-0A39264D15E7}" xr6:coauthVersionLast="47" xr6:coauthVersionMax="47" xr10:uidLastSave="{82519097-9034-4108-860F-CBAB40FF6A5B}"/>
  <bookViews>
    <workbookView xWindow="-25710" yWindow="-110" windowWidth="25820" windowHeight="13900" tabRatio="775" activeTab="11" xr2:uid="{2D40069B-99AD-4814-9647-B74F615EA4AD}"/>
  </bookViews>
  <sheets>
    <sheet name="Sheet4 (4)" sheetId="30" r:id="rId1"/>
    <sheet name="Sheet1" sheetId="1" r:id="rId2"/>
    <sheet name="Sheet5" sheetId="23" r:id="rId3"/>
    <sheet name="Sheet2" sheetId="2" r:id="rId4"/>
    <sheet name="Sheet11" sheetId="18" r:id="rId5"/>
    <sheet name="Sheet9" sheetId="16" r:id="rId6"/>
    <sheet name="Sheet8" sheetId="10" r:id="rId7"/>
    <sheet name="Sheet6" sheetId="9" r:id="rId8"/>
    <sheet name="Sheet3" sheetId="3" r:id="rId9"/>
    <sheet name="Hallo" sheetId="6" r:id="rId10"/>
    <sheet name="Sheet7" sheetId="7" r:id="rId11"/>
    <sheet name="Sheet4" sheetId="4" r:id="rId12"/>
    <sheet name="Sheet4 (3)" sheetId="28" r:id="rId13"/>
    <sheet name="Sheet4 (2)" sheetId="26" r:id="rId14"/>
    <sheet name="Sheet14" sheetId="21" r:id="rId15"/>
    <sheet name="Sheet15" sheetId="2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7" i="4" l="1"/>
  <c r="H5" i="4"/>
  <c r="H7" i="30"/>
  <c r="H5" i="30"/>
  <c r="H7" i="28"/>
  <c r="H5" i="28"/>
  <c r="H7" i="26"/>
  <c r="H5" i="26"/>
  <c r="B8" i="7"/>
  <c r="I5" i="7" a="1"/>
  <c r="I5" i="7" s="1"/>
  <c r="I13" i="7" a="1"/>
  <c r="I13" i="7" s="1"/>
  <c r="D12" i="7" a="1"/>
  <c r="D13" i="7" a="1"/>
  <c r="F103" i="6" a="1"/>
  <c r="A10" i="7" a="1"/>
  <c r="D12" i="7" l="1"/>
  <c r="A10" i="7"/>
  <c r="F103" i="6"/>
  <c r="D13" i="7"/>
  <c r="A2" i="18" l="1"/>
  <c r="D10" i="7" a="1"/>
  <c r="A1" i="18" a="1"/>
  <c r="D10" i="7" l="1"/>
  <c r="A1" i="18"/>
  <c r="D11" i="7" a="1"/>
  <c r="D11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<sst xmlns="http://schemas.openxmlformats.org/spreadsheetml/2006/main" count="363" uniqueCount="53">
  <si>
    <t>Students ID</t>
  </si>
  <si>
    <t>Course</t>
  </si>
  <si>
    <t xml:space="preserve">Code </t>
  </si>
  <si>
    <t>Final Grade</t>
  </si>
  <si>
    <t>STAT</t>
  </si>
  <si>
    <t>A</t>
  </si>
  <si>
    <t>A-</t>
  </si>
  <si>
    <t>Sheet1</t>
  </si>
  <si>
    <t>Sheet2</t>
  </si>
  <si>
    <t>Sheet3</t>
  </si>
  <si>
    <t>Hallo</t>
  </si>
  <si>
    <t>Sheet4</t>
  </si>
  <si>
    <t>Origin</t>
  </si>
  <si>
    <t>Changed</t>
  </si>
  <si>
    <t>Median</t>
  </si>
  <si>
    <t>Normal</t>
  </si>
  <si>
    <t>Small</t>
  </si>
  <si>
    <t>SID</t>
  </si>
  <si>
    <t>Sheet11</t>
  </si>
  <si>
    <t>Sheet9</t>
  </si>
  <si>
    <t>Sheet8</t>
  </si>
  <si>
    <t>Sheet6</t>
  </si>
  <si>
    <t>Sheet7</t>
  </si>
  <si>
    <t>Sheet14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</si>
  <si>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</si>
  <si>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</si>
  <si>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</si>
  <si>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</si>
  <si>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</si>
  <si>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</si>
  <si>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</si>
  <si>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</si>
  <si>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</si>
  <si>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</si>
  <si>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</si>
  <si>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</si>
  <si>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</si>
  <si>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</si>
  <si>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</si>
  <si>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</si>
  <si>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</si>
  <si>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</si>
  <si>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</si>
  <si>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</si>
  <si>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</si>
  <si>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</si>
  <si>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</si>
  <si>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</si>
  <si>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</si>
  <si>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</si>
  <si>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Sheet15</t>
  </si>
  <si>
    <t>Sheet5</t>
  </si>
  <si>
    <t>上午9:36:00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</si>
</sst>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19" fontId="0" fillId="0" borderId="0" xfId="0" applyNumberFormat="1"/>
    <xf numFmtId="164" fontId="0" fillId="0" borderId="0" xfId="0" applyNumberFormat="1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Continuous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2</xdr:row>
          <xdr:rowOff>6350</xdr:rowOff>
        </xdr:from>
        <xdr:to>
          <xdr:col>8</xdr:col>
          <xdr:colOff>476250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146050</xdr:colOff>
          <xdr:row>3</xdr:row>
          <xdr:rowOff>0</xdr:rowOff>
        </xdr:from>
        <xdr:to>
          <xdr:col>8</xdr:col>
          <xdr:colOff>495300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BFA02-B92F-46A3-B48F-7190D382FC39}">
  <sheetPr codeName="Sheet14"/>
  <dimension ref="A1:M23"/>
  <sheetViews>
    <sheetView workbookViewId="0">
      <selection activeCell="A3" sqref="A3:XFD3"/>
    </sheetView>
  </sheetViews>
  <sheetFormatPr defaultRowHeight="14.5" x14ac:dyDescent="0.35"/>
  <cols>
    <col min="8" max="8" width="16.90625" customWidth="1"/>
  </cols>
  <sheetData>
    <row r="1" spans="1:13" x14ac:dyDescent="0.35">
      <c r="A1">
        <v>100</v>
      </c>
      <c r="B1">
        <v>20</v>
      </c>
      <c r="C1">
        <v>15</v>
      </c>
      <c r="D1">
        <v>15</v>
      </c>
      <c r="I1">
        <v>15</v>
      </c>
      <c r="J1">
        <v>15</v>
      </c>
      <c r="K1">
        <v>15</v>
      </c>
      <c r="L1">
        <v>15</v>
      </c>
      <c r="M1">
        <v>20</v>
      </c>
    </row>
    <row r="2" spans="1:13" x14ac:dyDescent="0.35">
      <c r="A2">
        <v>250</v>
      </c>
      <c r="B2">
        <v>1</v>
      </c>
      <c r="C2">
        <v>1</v>
      </c>
      <c r="D2">
        <v>1</v>
      </c>
      <c r="E2">
        <v>20</v>
      </c>
      <c r="F2">
        <v>25</v>
      </c>
      <c r="I2">
        <v>1</v>
      </c>
      <c r="J2">
        <v>1</v>
      </c>
      <c r="K2">
        <v>1</v>
      </c>
      <c r="L2">
        <v>1</v>
      </c>
      <c r="M2">
        <v>1</v>
      </c>
    </row>
    <row r="3" spans="1:13" x14ac:dyDescent="0.35">
      <c r="A3">
        <v>250</v>
      </c>
      <c r="B3">
        <v>1</v>
      </c>
      <c r="C3">
        <v>1</v>
      </c>
      <c r="D3">
        <v>1</v>
      </c>
      <c r="H3">
        <v>100</v>
      </c>
      <c r="I3">
        <v>1</v>
      </c>
      <c r="J3">
        <v>1</v>
      </c>
      <c r="K3">
        <v>1</v>
      </c>
      <c r="L3">
        <v>1</v>
      </c>
      <c r="M3">
        <v>1</v>
      </c>
    </row>
    <row r="4" spans="1:13" x14ac:dyDescent="0.35">
      <c r="A4">
        <v>200</v>
      </c>
      <c r="B4">
        <v>20</v>
      </c>
      <c r="C4">
        <v>15</v>
      </c>
      <c r="D4">
        <v>15</v>
      </c>
      <c r="I4">
        <v>15</v>
      </c>
      <c r="J4">
        <v>15</v>
      </c>
      <c r="K4">
        <v>15</v>
      </c>
      <c r="L4">
        <v>15</v>
      </c>
      <c r="M4">
        <v>20</v>
      </c>
    </row>
    <row r="5" spans="1:13" x14ac:dyDescent="0.35">
      <c r="A5">
        <v>200</v>
      </c>
      <c r="B5">
        <v>20</v>
      </c>
      <c r="C5">
        <v>15</v>
      </c>
      <c r="D5">
        <v>15</v>
      </c>
      <c r="H5" s="2">
        <f>0.1+0.3</f>
        <v>0.4</v>
      </c>
      <c r="I5">
        <v>15</v>
      </c>
      <c r="J5">
        <v>15</v>
      </c>
      <c r="K5">
        <v>15</v>
      </c>
      <c r="L5">
        <v>15</v>
      </c>
      <c r="M5">
        <v>20</v>
      </c>
    </row>
    <row r="6" spans="1:13" x14ac:dyDescent="0.35">
      <c r="A6">
        <v>200</v>
      </c>
      <c r="B6">
        <v>20</v>
      </c>
      <c r="H6" s="1">
        <v>0.39999999999999997</v>
      </c>
      <c r="M6">
        <v>20</v>
      </c>
    </row>
    <row r="7" spans="1:13" x14ac:dyDescent="0.35">
      <c r="A7">
        <v>200</v>
      </c>
      <c r="B7">
        <v>20</v>
      </c>
      <c r="H7">
        <f>0.1+0.3</f>
        <v>0.4</v>
      </c>
      <c r="M7">
        <v>20</v>
      </c>
    </row>
    <row r="8" spans="1:13" x14ac:dyDescent="0.35">
      <c r="A8">
        <v>200</v>
      </c>
      <c r="B8">
        <v>20</v>
      </c>
      <c r="H8">
        <v>0.4</v>
      </c>
      <c r="M8">
        <v>20</v>
      </c>
    </row>
    <row r="9" spans="1:13" x14ac:dyDescent="0.35">
      <c r="A9">
        <v>200</v>
      </c>
      <c r="B9">
        <v>20</v>
      </c>
      <c r="M9">
        <v>20</v>
      </c>
    </row>
    <row r="10" spans="1:13" x14ac:dyDescent="0.35">
      <c r="B10">
        <v>200</v>
      </c>
      <c r="M10">
        <v>200</v>
      </c>
    </row>
    <row r="11" spans="1:13" x14ac:dyDescent="0.35">
      <c r="A11">
        <v>1525</v>
      </c>
      <c r="B11">
        <v>120</v>
      </c>
      <c r="M11">
        <v>120</v>
      </c>
    </row>
    <row r="12" spans="1:13" x14ac:dyDescent="0.35">
      <c r="A12">
        <v>5</v>
      </c>
      <c r="B12">
        <v>20</v>
      </c>
      <c r="C12">
        <v>15</v>
      </c>
      <c r="M12">
        <v>20</v>
      </c>
    </row>
    <row r="13" spans="1:13" x14ac:dyDescent="0.35">
      <c r="A13">
        <v>200</v>
      </c>
      <c r="B13">
        <v>1</v>
      </c>
      <c r="C13">
        <v>1</v>
      </c>
      <c r="M13">
        <v>1</v>
      </c>
    </row>
    <row r="14" spans="1:13" x14ac:dyDescent="0.35">
      <c r="A14">
        <v>200</v>
      </c>
      <c r="B14">
        <v>1</v>
      </c>
      <c r="C14">
        <v>1</v>
      </c>
      <c r="M14">
        <v>1</v>
      </c>
    </row>
    <row r="15" spans="1:13" x14ac:dyDescent="0.35">
      <c r="A15">
        <v>200</v>
      </c>
      <c r="B15">
        <v>20</v>
      </c>
      <c r="C15">
        <v>15</v>
      </c>
      <c r="M15">
        <v>20</v>
      </c>
    </row>
    <row r="16" spans="1:13" x14ac:dyDescent="0.35">
      <c r="A16">
        <v>200</v>
      </c>
      <c r="B16">
        <v>20</v>
      </c>
      <c r="C16">
        <v>15</v>
      </c>
      <c r="M16">
        <v>20</v>
      </c>
    </row>
    <row r="17" spans="1:13" x14ac:dyDescent="0.35">
      <c r="A17">
        <v>200</v>
      </c>
      <c r="B17">
        <v>20</v>
      </c>
      <c r="M17">
        <v>20</v>
      </c>
    </row>
    <row r="18" spans="1:13" x14ac:dyDescent="0.35">
      <c r="A18">
        <v>200</v>
      </c>
      <c r="B18">
        <v>20</v>
      </c>
      <c r="M18">
        <v>20</v>
      </c>
    </row>
    <row r="19" spans="1:13" x14ac:dyDescent="0.35">
      <c r="A19">
        <v>200</v>
      </c>
      <c r="B19">
        <v>20</v>
      </c>
      <c r="M19">
        <v>20</v>
      </c>
    </row>
    <row r="20" spans="1:13" x14ac:dyDescent="0.35">
      <c r="A20">
        <v>200</v>
      </c>
      <c r="B20">
        <v>20</v>
      </c>
      <c r="M20">
        <v>20</v>
      </c>
    </row>
    <row r="21" spans="1:13" x14ac:dyDescent="0.35">
      <c r="B21">
        <v>20</v>
      </c>
      <c r="M21">
        <v>20</v>
      </c>
    </row>
    <row r="22" spans="1:13" x14ac:dyDescent="0.35">
      <c r="B22">
        <v>120</v>
      </c>
      <c r="M22">
        <v>120</v>
      </c>
    </row>
    <row r="23" spans="1:13" x14ac:dyDescent="0.35">
      <c r="M23">
        <v>588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6F01E-FD4D-476E-9EDD-324D50ECFBF8}">
  <sheetPr codeName="Sheet1"/>
  <dimension ref="A1:D15"/>
  <sheetViews>
    <sheetView workbookViewId="0">
      <selection sqref="A1:XFD1"/>
    </sheetView>
  </sheetViews>
  <sheetFormatPr defaultRowHeight="14.5" x14ac:dyDescent="0.35"/>
  <cols>
    <col min="1" max="1" width="15.453125" customWidth="1"/>
    <col min="2" max="2" width="6.6328125" bestFit="1" customWidth="1"/>
    <col min="3" max="3" width="14.81640625" customWidth="1"/>
    <col min="4" max="4" width="10.26953125" bestFit="1" customWidth="1"/>
  </cols>
  <sheetData>
    <row r="1" spans="1:4" x14ac:dyDescent="0.35">
      <c r="A1" t="s">
        <v>17</v>
      </c>
      <c r="B1" t="s">
        <v>1</v>
      </c>
      <c r="C1" t="s">
        <v>2</v>
      </c>
      <c r="D1" t="s">
        <v>3</v>
      </c>
    </row>
    <row r="2" spans="1:4" x14ac:dyDescent="0.35">
      <c r="A2">
        <v>1155159542</v>
      </c>
      <c r="B2" t="s">
        <v>4</v>
      </c>
      <c r="C2">
        <v>5101</v>
      </c>
      <c r="D2" t="s">
        <v>5</v>
      </c>
    </row>
    <row r="3" spans="1:4" x14ac:dyDescent="0.35">
      <c r="A3">
        <v>1155159542</v>
      </c>
      <c r="B3" t="s">
        <v>4</v>
      </c>
      <c r="C3">
        <v>5101</v>
      </c>
      <c r="D3" t="s">
        <v>5</v>
      </c>
    </row>
    <row r="4" spans="1:4" x14ac:dyDescent="0.35">
      <c r="A4">
        <v>1155159543</v>
      </c>
      <c r="B4" t="s">
        <v>4</v>
      </c>
      <c r="C4">
        <v>5101</v>
      </c>
      <c r="D4" t="s">
        <v>5</v>
      </c>
    </row>
    <row r="5" spans="1:4" x14ac:dyDescent="0.35">
      <c r="A5">
        <v>1155159534</v>
      </c>
      <c r="B5" t="s">
        <v>4</v>
      </c>
      <c r="C5">
        <v>5101</v>
      </c>
      <c r="D5" t="s">
        <v>5</v>
      </c>
    </row>
    <row r="6" spans="1:4" x14ac:dyDescent="0.35">
      <c r="A6">
        <v>1155157369</v>
      </c>
      <c r="B6" t="s">
        <v>4</v>
      </c>
      <c r="C6">
        <v>5101</v>
      </c>
      <c r="D6" t="s">
        <v>6</v>
      </c>
    </row>
    <row r="7" spans="1:4" x14ac:dyDescent="0.35">
      <c r="A7">
        <v>1155159305</v>
      </c>
      <c r="B7" t="s">
        <v>4</v>
      </c>
      <c r="C7">
        <v>5102</v>
      </c>
      <c r="D7" t="s">
        <v>6</v>
      </c>
    </row>
    <row r="8" spans="1:4" x14ac:dyDescent="0.35">
      <c r="A8">
        <v>1155159305</v>
      </c>
      <c r="B8" t="s">
        <v>4</v>
      </c>
      <c r="C8">
        <v>5101</v>
      </c>
      <c r="D8" t="s">
        <v>6</v>
      </c>
    </row>
    <row r="9" spans="1:4" x14ac:dyDescent="0.35">
      <c r="A9">
        <v>1155159305</v>
      </c>
      <c r="B9" t="s">
        <v>4</v>
      </c>
      <c r="C9">
        <v>5101</v>
      </c>
      <c r="D9" t="s">
        <v>6</v>
      </c>
    </row>
    <row r="10" spans="1:4" x14ac:dyDescent="0.35">
      <c r="A10">
        <v>1155158619</v>
      </c>
      <c r="B10" t="s">
        <v>4</v>
      </c>
      <c r="C10">
        <v>5101</v>
      </c>
      <c r="D10" t="s">
        <v>6</v>
      </c>
    </row>
    <row r="11" spans="1:4" x14ac:dyDescent="0.35">
      <c r="A11">
        <v>1155159305</v>
      </c>
      <c r="B11" t="s">
        <v>4</v>
      </c>
      <c r="C11">
        <v>5101</v>
      </c>
      <c r="D11" t="s">
        <v>6</v>
      </c>
    </row>
    <row r="12" spans="1:4" x14ac:dyDescent="0.35">
      <c r="A12">
        <v>1155159994</v>
      </c>
      <c r="B12" t="s">
        <v>4</v>
      </c>
      <c r="C12">
        <v>5101</v>
      </c>
      <c r="D12" t="s">
        <v>6</v>
      </c>
    </row>
    <row r="13" spans="1:4" x14ac:dyDescent="0.35">
      <c r="A13">
        <v>1155159305</v>
      </c>
      <c r="B13" t="s">
        <v>4</v>
      </c>
      <c r="C13">
        <v>5101</v>
      </c>
      <c r="D13" t="s">
        <v>6</v>
      </c>
    </row>
    <row r="14" spans="1:4" x14ac:dyDescent="0.35">
      <c r="A14">
        <v>1155159290</v>
      </c>
      <c r="B14" t="s">
        <v>4</v>
      </c>
      <c r="C14">
        <v>5101</v>
      </c>
      <c r="D14" t="s">
        <v>6</v>
      </c>
    </row>
    <row r="15" spans="1:4" ht="13" customHeight="1" x14ac:dyDescent="0.35"/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">
                <anchor moveWithCells="1" sizeWithCells="1">
                  <from>
                    <xdr:col>6</xdr:col>
                    <xdr:colOff>127000</xdr:colOff>
                    <xdr:row>2</xdr:row>
                    <xdr:rowOff>6350</xdr:rowOff>
                  </from>
                  <to>
                    <xdr:col>8</xdr:col>
                    <xdr:colOff>476250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el">
                <anchor moveWithCells="1" sizeWithCells="1">
                  <from>
                    <xdr:col>6</xdr:col>
                    <xdr:colOff>146050</xdr:colOff>
                    <xdr:row>3</xdr:row>
                    <xdr:rowOff>0</xdr:rowOff>
                  </from>
                  <to>
                    <xdr:col>8</xdr:col>
                    <xdr:colOff>495300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91245-58B8-4965-8E0E-E35FE9865378}">
  <sheetPr codeName="Sheet5"/>
  <dimension ref="A1:D13"/>
  <sheetViews>
    <sheetView workbookViewId="0">
      <selection activeCell="C16" sqref="C16"/>
    </sheetView>
  </sheetViews>
  <sheetFormatPr defaultRowHeight="14.5" x14ac:dyDescent="0.35"/>
  <cols>
    <col min="1" max="1" width="10.81640625" bestFit="1" customWidth="1"/>
    <col min="4" max="4" width="10.26953125" bestFit="1" customWidth="1"/>
  </cols>
  <sheetData>
    <row r="1" spans="1:4" x14ac:dyDescent="0.35">
      <c r="A1" t="s">
        <v>17</v>
      </c>
      <c r="B1" t="s">
        <v>1</v>
      </c>
      <c r="C1" t="s">
        <v>2</v>
      </c>
      <c r="D1" t="s">
        <v>3</v>
      </c>
    </row>
    <row r="2" spans="1:4" x14ac:dyDescent="0.35">
      <c r="A2">
        <v>1155159542</v>
      </c>
      <c r="B2" t="s">
        <v>4</v>
      </c>
      <c r="C2">
        <v>5101</v>
      </c>
      <c r="D2" t="s">
        <v>5</v>
      </c>
    </row>
    <row r="3" spans="1:4" x14ac:dyDescent="0.35">
      <c r="A3">
        <v>1155159543</v>
      </c>
      <c r="B3" t="s">
        <v>4</v>
      </c>
      <c r="C3">
        <v>5101</v>
      </c>
      <c r="D3" t="s">
        <v>5</v>
      </c>
    </row>
    <row r="4" spans="1:4" x14ac:dyDescent="0.35">
      <c r="A4">
        <v>1155160008</v>
      </c>
      <c r="B4" t="s">
        <v>4</v>
      </c>
      <c r="C4">
        <v>5101</v>
      </c>
      <c r="D4" t="s">
        <v>5</v>
      </c>
    </row>
    <row r="5" spans="1:4" x14ac:dyDescent="0.35">
      <c r="A5">
        <v>1155157370</v>
      </c>
      <c r="B5" t="s">
        <v>4</v>
      </c>
      <c r="C5">
        <v>5101</v>
      </c>
      <c r="D5" t="s">
        <v>5</v>
      </c>
    </row>
    <row r="6" spans="1:4" x14ac:dyDescent="0.35">
      <c r="A6">
        <v>1155159534</v>
      </c>
      <c r="B6" t="s">
        <v>4</v>
      </c>
      <c r="C6">
        <v>5101</v>
      </c>
      <c r="D6" t="s">
        <v>5</v>
      </c>
    </row>
    <row r="7" spans="1:4" x14ac:dyDescent="0.35">
      <c r="A7">
        <v>1155157369</v>
      </c>
      <c r="B7" t="s">
        <v>4</v>
      </c>
      <c r="C7">
        <v>5101</v>
      </c>
      <c r="D7" t="s">
        <v>6</v>
      </c>
    </row>
    <row r="8" spans="1:4" x14ac:dyDescent="0.35">
      <c r="A8">
        <v>1155159305</v>
      </c>
      <c r="B8" t="s">
        <v>4</v>
      </c>
      <c r="C8">
        <v>5102</v>
      </c>
      <c r="D8" t="s">
        <v>6</v>
      </c>
    </row>
    <row r="9" spans="1:4" x14ac:dyDescent="0.35">
      <c r="A9">
        <v>1155159305</v>
      </c>
      <c r="B9" t="s">
        <v>4</v>
      </c>
      <c r="C9">
        <v>5101</v>
      </c>
      <c r="D9" t="s">
        <v>6</v>
      </c>
    </row>
    <row r="10" spans="1:4" x14ac:dyDescent="0.35">
      <c r="A10">
        <v>1155159305</v>
      </c>
      <c r="B10" t="s">
        <v>4</v>
      </c>
      <c r="C10">
        <v>5101</v>
      </c>
      <c r="D10" t="s">
        <v>6</v>
      </c>
    </row>
    <row r="11" spans="1:4" x14ac:dyDescent="0.35">
      <c r="A11">
        <v>1155158619</v>
      </c>
      <c r="B11" t="s">
        <v>4</v>
      </c>
      <c r="C11">
        <v>5101</v>
      </c>
      <c r="D11" t="s">
        <v>6</v>
      </c>
    </row>
    <row r="12" spans="1:4" x14ac:dyDescent="0.35">
      <c r="A12">
        <v>1155159994</v>
      </c>
      <c r="B12" t="s">
        <v>4</v>
      </c>
      <c r="C12">
        <v>5101</v>
      </c>
      <c r="D12" t="s">
        <v>6</v>
      </c>
    </row>
    <row r="13" spans="1:4" x14ac:dyDescent="0.35">
      <c r="A13">
        <v>1155159290</v>
      </c>
      <c r="B13" t="s">
        <v>4</v>
      </c>
      <c r="C13">
        <v>5101</v>
      </c>
      <c r="D13" t="s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5237-2ACA-4C4E-A905-D5DD937AEBA4}">
  <sheetPr codeName="Sheet2"/>
  <dimension ref="A1:D23"/>
  <sheetViews>
    <sheetView workbookViewId="0">
      <selection activeCell="H21" sqref="H21"/>
    </sheetView>
  </sheetViews>
  <sheetFormatPr defaultRowHeight="14.5" x14ac:dyDescent="0.35"/>
  <cols>
    <col min="1" max="1" width="10.81640625" bestFit="1" customWidth="1"/>
    <col min="2" max="2" width="6.6328125" bestFit="1" customWidth="1"/>
    <col min="3" max="3" width="5.54296875" bestFit="1" customWidth="1"/>
    <col min="4" max="4" width="10.26953125" bestFit="1" customWidth="1"/>
  </cols>
  <sheetData>
    <row r="1" spans="1:4" x14ac:dyDescent="0.35">
      <c r="A1" t="s">
        <v>17</v>
      </c>
      <c r="B1">
        <v>120</v>
      </c>
      <c r="C1" t="s">
        <v>2</v>
      </c>
      <c r="D1" t="s">
        <v>3</v>
      </c>
    </row>
    <row r="2" spans="1:4" x14ac:dyDescent="0.35">
      <c r="A2">
        <v>1155159542</v>
      </c>
      <c r="B2">
        <v>250</v>
      </c>
      <c r="C2">
        <v>5101</v>
      </c>
      <c r="D2" t="s">
        <v>5</v>
      </c>
    </row>
    <row r="3" spans="1:4" x14ac:dyDescent="0.35">
      <c r="A3">
        <v>1155159543</v>
      </c>
      <c r="B3">
        <v>250</v>
      </c>
      <c r="C3">
        <v>5101</v>
      </c>
      <c r="D3" t="s">
        <v>5</v>
      </c>
    </row>
    <row r="4" spans="1:4" x14ac:dyDescent="0.35">
      <c r="A4">
        <v>1155160008</v>
      </c>
      <c r="B4">
        <v>200</v>
      </c>
      <c r="C4">
        <v>5101</v>
      </c>
      <c r="D4" t="s">
        <v>5</v>
      </c>
    </row>
    <row r="5" spans="1:4" x14ac:dyDescent="0.35">
      <c r="A5">
        <v>1155157370</v>
      </c>
      <c r="B5">
        <v>200</v>
      </c>
      <c r="C5">
        <v>5101</v>
      </c>
      <c r="D5" t="s">
        <v>5</v>
      </c>
    </row>
    <row r="6" spans="1:4" x14ac:dyDescent="0.35">
      <c r="A6">
        <v>1155158100</v>
      </c>
      <c r="B6">
        <v>200</v>
      </c>
      <c r="C6">
        <v>5101</v>
      </c>
      <c r="D6" t="s">
        <v>5</v>
      </c>
    </row>
    <row r="7" spans="1:4" x14ac:dyDescent="0.35">
      <c r="A7">
        <v>1155159534</v>
      </c>
      <c r="B7">
        <v>200</v>
      </c>
      <c r="C7">
        <v>5101</v>
      </c>
      <c r="D7" t="s">
        <v>5</v>
      </c>
    </row>
    <row r="8" spans="1:4" x14ac:dyDescent="0.35">
      <c r="A8">
        <v>1155157369</v>
      </c>
      <c r="B8">
        <v>200</v>
      </c>
      <c r="C8">
        <v>5101</v>
      </c>
      <c r="D8" t="s">
        <v>6</v>
      </c>
    </row>
    <row r="9" spans="1:4" x14ac:dyDescent="0.35">
      <c r="A9">
        <v>1155159305</v>
      </c>
      <c r="B9">
        <v>200</v>
      </c>
      <c r="C9">
        <v>5102</v>
      </c>
      <c r="D9" t="s">
        <v>6</v>
      </c>
    </row>
    <row r="10" spans="1:4" x14ac:dyDescent="0.35">
      <c r="A10">
        <v>1155159305</v>
      </c>
      <c r="C10">
        <v>5101</v>
      </c>
      <c r="D10" t="s">
        <v>6</v>
      </c>
    </row>
    <row r="11" spans="1:4" x14ac:dyDescent="0.35">
      <c r="A11">
        <v>1155159305</v>
      </c>
      <c r="B11">
        <v>1525</v>
      </c>
      <c r="C11">
        <v>5101</v>
      </c>
      <c r="D11" t="s">
        <v>6</v>
      </c>
    </row>
    <row r="12" spans="1:4" x14ac:dyDescent="0.35">
      <c r="A12">
        <v>1155158619</v>
      </c>
      <c r="B12">
        <v>5</v>
      </c>
      <c r="C12">
        <v>5101</v>
      </c>
      <c r="D12" t="s">
        <v>6</v>
      </c>
    </row>
    <row r="13" spans="1:4" x14ac:dyDescent="0.35">
      <c r="A13">
        <v>1155159994</v>
      </c>
      <c r="B13">
        <v>200</v>
      </c>
      <c r="C13">
        <v>5101</v>
      </c>
      <c r="D13" t="s">
        <v>6</v>
      </c>
    </row>
    <row r="14" spans="1:4" x14ac:dyDescent="0.35">
      <c r="A14">
        <v>1155159290</v>
      </c>
      <c r="B14">
        <v>200</v>
      </c>
      <c r="C14">
        <v>5101</v>
      </c>
      <c r="D14" t="s">
        <v>6</v>
      </c>
    </row>
    <row r="15" spans="1:4" x14ac:dyDescent="0.35">
      <c r="B15">
        <v>200</v>
      </c>
    </row>
    <row r="16" spans="1:4" x14ac:dyDescent="0.35">
      <c r="B16">
        <v>200</v>
      </c>
    </row>
    <row r="17" spans="2:2" x14ac:dyDescent="0.35">
      <c r="B17">
        <v>200</v>
      </c>
    </row>
    <row r="18" spans="2:2" x14ac:dyDescent="0.35">
      <c r="B18">
        <v>200</v>
      </c>
    </row>
    <row r="19" spans="2:2" ht="15" customHeight="1" x14ac:dyDescent="0.35">
      <c r="B19">
        <v>200</v>
      </c>
    </row>
    <row r="20" spans="2:2" x14ac:dyDescent="0.35">
      <c r="B20">
        <v>200</v>
      </c>
    </row>
    <row r="23" spans="2:2" x14ac:dyDescent="0.35">
      <c r="B23">
        <v>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E7DCE-A64B-4EBE-B263-2CCCBB763EA4}">
  <sheetPr codeName="Sheet13"/>
  <dimension ref="A1:A2"/>
  <sheetViews>
    <sheetView workbookViewId="0">
      <selection activeCell="B14" sqref="B14"/>
    </sheetView>
  </sheetViews>
  <sheetFormatPr defaultRowHeight="14.5" x14ac:dyDescent="0.35"/>
  <sheetData>
    <row r="1" spans="1:1" x14ac:dyDescent="0.35">
      <c r="A1" cm="1">
        <f t="array" ref="A1">Randb(10)</f>
        <v>7.7474009990692139</v>
      </c>
    </row>
    <row r="2" spans="1:1" x14ac:dyDescent="0.35">
      <c r="A2">
        <f>_xlfn.CONFIDENCE.T(0.95,1,3)</f>
        <v>4.0875955965664436E-2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339F7-9FB9-48AB-AA5B-9FF0C6F52F41}">
  <sheetPr codeName="Sheet11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2A99-696F-4178-B777-1F5DB62C9F93}">
  <sheetPr codeName="Sheet10"/>
  <dimension ref="A1"/>
  <sheetViews>
    <sheetView workbookViewId="0">
      <selection activeCell="F14" sqref="F14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E8E3-36B8-440C-B4D2-EC825EA77F68}">
  <sheetPr codeName="Sheet9"/>
  <dimension ref="A1"/>
  <sheetViews>
    <sheetView workbookViewId="0">
      <selection activeCell="E20" sqref="E20"/>
    </sheetView>
  </sheetViews>
  <sheetFormatPr defaultRowHeight="14.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E2BE5-6138-48DC-9EAD-C5650D567540}">
  <sheetPr codeName="Sheet3"/>
  <dimension ref="A1:D19"/>
  <sheetViews>
    <sheetView workbookViewId="0">
      <selection activeCell="E18" sqref="E18"/>
    </sheetView>
  </sheetViews>
  <sheetFormatPr defaultRowHeight="14.5" x14ac:dyDescent="0.35"/>
  <cols>
    <col min="1" max="1" width="10.81640625" bestFit="1" customWidth="1"/>
    <col min="2" max="2" width="6.6328125" bestFit="1" customWidth="1"/>
    <col min="3" max="3" width="5.54296875" bestFit="1" customWidth="1"/>
    <col min="4" max="4" width="10.2695312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A2">
        <v>1155159540</v>
      </c>
      <c r="B2" t="s">
        <v>4</v>
      </c>
      <c r="C2">
        <v>5101</v>
      </c>
      <c r="D2" t="s">
        <v>5</v>
      </c>
    </row>
    <row r="3" spans="1:4" x14ac:dyDescent="0.35">
      <c r="A3">
        <v>1155159540</v>
      </c>
      <c r="B3" t="s">
        <v>4</v>
      </c>
      <c r="C3">
        <v>5101</v>
      </c>
      <c r="D3" t="s">
        <v>5</v>
      </c>
    </row>
    <row r="4" spans="1:4" x14ac:dyDescent="0.35">
      <c r="A4">
        <v>1155160008</v>
      </c>
      <c r="B4" t="s">
        <v>4</v>
      </c>
      <c r="C4">
        <v>5101</v>
      </c>
      <c r="D4" t="s">
        <v>5</v>
      </c>
    </row>
    <row r="5" spans="1:4" x14ac:dyDescent="0.35">
      <c r="A5">
        <v>1155157370</v>
      </c>
      <c r="B5" t="s">
        <v>4</v>
      </c>
      <c r="C5">
        <v>5101</v>
      </c>
      <c r="D5" t="s">
        <v>5</v>
      </c>
    </row>
    <row r="6" spans="1:4" x14ac:dyDescent="0.35">
      <c r="A6">
        <v>1155158100</v>
      </c>
      <c r="B6" t="s">
        <v>4</v>
      </c>
      <c r="C6">
        <v>5101</v>
      </c>
      <c r="D6" t="s">
        <v>5</v>
      </c>
    </row>
    <row r="7" spans="1:4" x14ac:dyDescent="0.35">
      <c r="A7">
        <v>1155159534</v>
      </c>
      <c r="B7" t="s">
        <v>4</v>
      </c>
      <c r="C7">
        <v>5101</v>
      </c>
      <c r="D7" t="s">
        <v>5</v>
      </c>
    </row>
    <row r="8" spans="1:4" x14ac:dyDescent="0.35">
      <c r="A8">
        <v>1155157369</v>
      </c>
      <c r="B8" t="s">
        <v>4</v>
      </c>
      <c r="C8">
        <v>5101</v>
      </c>
      <c r="D8" t="s">
        <v>6</v>
      </c>
    </row>
    <row r="9" spans="1:4" x14ac:dyDescent="0.35">
      <c r="A9">
        <v>1155159305</v>
      </c>
      <c r="B9" t="s">
        <v>4</v>
      </c>
      <c r="C9">
        <v>5102</v>
      </c>
      <c r="D9" t="s">
        <v>6</v>
      </c>
    </row>
    <row r="10" spans="1:4" x14ac:dyDescent="0.35">
      <c r="A10">
        <v>1155159305</v>
      </c>
      <c r="B10" t="s">
        <v>4</v>
      </c>
      <c r="C10">
        <v>5101</v>
      </c>
      <c r="D10" t="s">
        <v>6</v>
      </c>
    </row>
    <row r="11" spans="1:4" x14ac:dyDescent="0.35">
      <c r="A11">
        <v>1155159305</v>
      </c>
      <c r="B11" t="s">
        <v>4</v>
      </c>
      <c r="C11">
        <v>5101</v>
      </c>
      <c r="D11" t="s">
        <v>6</v>
      </c>
    </row>
    <row r="12" spans="1:4" x14ac:dyDescent="0.35">
      <c r="A12">
        <v>1155158619</v>
      </c>
      <c r="B12" t="s">
        <v>4</v>
      </c>
      <c r="C12">
        <v>5101</v>
      </c>
      <c r="D12" t="s">
        <v>6</v>
      </c>
    </row>
    <row r="13" spans="1:4" x14ac:dyDescent="0.35">
      <c r="A13">
        <v>1155159994</v>
      </c>
      <c r="B13" t="s">
        <v>4</v>
      </c>
      <c r="C13">
        <v>5101</v>
      </c>
      <c r="D13" t="s">
        <v>6</v>
      </c>
    </row>
    <row r="14" spans="1:4" x14ac:dyDescent="0.35">
      <c r="A14">
        <v>1155159290</v>
      </c>
      <c r="B14" t="s">
        <v>4</v>
      </c>
      <c r="C14">
        <v>5101</v>
      </c>
      <c r="D14" t="s">
        <v>6</v>
      </c>
    </row>
    <row r="19" ht="15" customHeight="1" x14ac:dyDescent="0.35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CD7DE-29DE-45E8-8C84-66FB7CD6064E}">
  <sheetPr codeName="Sheet6"/>
  <dimension ref="A1:G103"/>
  <sheetViews>
    <sheetView topLeftCell="A115" workbookViewId="0">
      <selection activeCell="C1" sqref="C1:C1048576"/>
    </sheetView>
  </sheetViews>
  <sheetFormatPr defaultRowHeight="14.5" x14ac:dyDescent="0.35"/>
  <sheetData>
    <row r="1" spans="1:7" x14ac:dyDescent="0.35">
      <c r="A1">
        <v>4.8989477157592773</v>
      </c>
      <c r="B1">
        <v>5</v>
      </c>
      <c r="C1" t="s">
        <v>15</v>
      </c>
      <c r="D1" t="s">
        <v>7</v>
      </c>
      <c r="E1" t="s">
        <v>7</v>
      </c>
      <c r="F1" t="s">
        <v>12</v>
      </c>
      <c r="G1" t="s">
        <v>12</v>
      </c>
    </row>
    <row r="2" spans="1:7" x14ac:dyDescent="0.35">
      <c r="A2">
        <v>3.6499543190002441</v>
      </c>
      <c r="B2">
        <v>4</v>
      </c>
      <c r="C2" t="s">
        <v>14</v>
      </c>
      <c r="D2" t="s">
        <v>51</v>
      </c>
      <c r="E2" t="s">
        <v>51</v>
      </c>
      <c r="F2" t="s">
        <v>12</v>
      </c>
      <c r="G2" t="s">
        <v>13</v>
      </c>
    </row>
    <row r="3" spans="1:7" x14ac:dyDescent="0.35">
      <c r="A3">
        <v>3.9029145240783691</v>
      </c>
      <c r="B3">
        <v>4</v>
      </c>
      <c r="C3" t="s">
        <v>14</v>
      </c>
      <c r="D3" t="s">
        <v>8</v>
      </c>
      <c r="E3" t="s">
        <v>8</v>
      </c>
      <c r="F3" t="s">
        <v>12</v>
      </c>
      <c r="G3" t="s">
        <v>12</v>
      </c>
    </row>
    <row r="4" spans="1:7" x14ac:dyDescent="0.35">
      <c r="A4">
        <v>0.60916244983673096</v>
      </c>
      <c r="B4">
        <v>1</v>
      </c>
      <c r="C4" t="s">
        <v>14</v>
      </c>
      <c r="D4" t="s">
        <v>18</v>
      </c>
      <c r="E4" t="s">
        <v>18</v>
      </c>
      <c r="F4" t="s">
        <v>13</v>
      </c>
      <c r="G4" t="s">
        <v>13</v>
      </c>
    </row>
    <row r="5" spans="1:7" x14ac:dyDescent="0.35">
      <c r="A5">
        <v>9.7907791137695313</v>
      </c>
      <c r="B5">
        <v>10</v>
      </c>
      <c r="C5" t="s">
        <v>15</v>
      </c>
      <c r="D5" t="s">
        <v>19</v>
      </c>
      <c r="E5" t="s">
        <v>19</v>
      </c>
      <c r="F5" t="s">
        <v>12</v>
      </c>
      <c r="G5" t="s">
        <v>13</v>
      </c>
    </row>
    <row r="6" spans="1:7" x14ac:dyDescent="0.35">
      <c r="A6">
        <v>2.4384517669677734</v>
      </c>
      <c r="B6">
        <v>2</v>
      </c>
      <c r="C6" t="s">
        <v>14</v>
      </c>
      <c r="D6" t="s">
        <v>20</v>
      </c>
      <c r="E6" t="s">
        <v>20</v>
      </c>
      <c r="F6" t="s">
        <v>12</v>
      </c>
      <c r="G6" t="s">
        <v>13</v>
      </c>
    </row>
    <row r="7" spans="1:7" x14ac:dyDescent="0.35">
      <c r="A7">
        <v>0.55593490600585938</v>
      </c>
      <c r="B7">
        <v>1</v>
      </c>
      <c r="C7" t="s">
        <v>14</v>
      </c>
      <c r="D7" t="s">
        <v>21</v>
      </c>
      <c r="E7" t="s">
        <v>21</v>
      </c>
      <c r="F7" t="s">
        <v>12</v>
      </c>
      <c r="G7" t="s">
        <v>13</v>
      </c>
    </row>
    <row r="8" spans="1:7" x14ac:dyDescent="0.35">
      <c r="A8">
        <v>2.6973156929016113</v>
      </c>
      <c r="B8">
        <v>3</v>
      </c>
      <c r="C8" t="s">
        <v>14</v>
      </c>
      <c r="D8" t="s">
        <v>9</v>
      </c>
      <c r="E8" t="s">
        <v>9</v>
      </c>
      <c r="F8" t="s">
        <v>12</v>
      </c>
      <c r="G8" t="s">
        <v>13</v>
      </c>
    </row>
    <row r="9" spans="1:7" x14ac:dyDescent="0.35">
      <c r="A9">
        <v>4.0483417510986328</v>
      </c>
      <c r="B9">
        <v>4</v>
      </c>
      <c r="C9" t="s">
        <v>14</v>
      </c>
      <c r="D9" t="s">
        <v>10</v>
      </c>
      <c r="E9" t="s">
        <v>10</v>
      </c>
      <c r="F9" t="s">
        <v>13</v>
      </c>
      <c r="G9" t="s">
        <v>13</v>
      </c>
    </row>
    <row r="10" spans="1:7" x14ac:dyDescent="0.35">
      <c r="A10">
        <v>3.534726619720459</v>
      </c>
      <c r="B10">
        <v>4</v>
      </c>
      <c r="C10" t="s">
        <v>14</v>
      </c>
      <c r="D10" t="s">
        <v>22</v>
      </c>
      <c r="E10" t="s">
        <v>22</v>
      </c>
    </row>
    <row r="11" spans="1:7" x14ac:dyDescent="0.35">
      <c r="A11">
        <v>4.6298003196716309</v>
      </c>
      <c r="B11">
        <v>5</v>
      </c>
      <c r="C11" t="s">
        <v>15</v>
      </c>
      <c r="D11" t="s">
        <v>11</v>
      </c>
      <c r="E11" t="s">
        <v>11</v>
      </c>
    </row>
    <row r="12" spans="1:7" x14ac:dyDescent="0.35">
      <c r="A12">
        <v>5.1373748779296875</v>
      </c>
      <c r="B12">
        <v>5</v>
      </c>
      <c r="C12" t="s">
        <v>15</v>
      </c>
      <c r="D12" t="s">
        <v>23</v>
      </c>
      <c r="E12" t="s">
        <v>23</v>
      </c>
    </row>
    <row r="13" spans="1:7" x14ac:dyDescent="0.35">
      <c r="A13">
        <v>5.0245389938354492</v>
      </c>
      <c r="B13">
        <v>5</v>
      </c>
      <c r="C13" t="s">
        <v>15</v>
      </c>
      <c r="D13" t="s">
        <v>50</v>
      </c>
      <c r="E13" t="s">
        <v>50</v>
      </c>
    </row>
    <row r="14" spans="1:7" x14ac:dyDescent="0.35">
      <c r="A14">
        <v>6.7794771194458008</v>
      </c>
      <c r="B14">
        <v>7</v>
      </c>
      <c r="C14" t="s">
        <v>15</v>
      </c>
      <c r="D14" t="s">
        <v>15</v>
      </c>
    </row>
    <row r="15" spans="1:7" x14ac:dyDescent="0.35">
      <c r="A15">
        <v>4.3026113510131836</v>
      </c>
      <c r="B15">
        <v>4</v>
      </c>
      <c r="C15" t="s">
        <v>14</v>
      </c>
      <c r="D15" t="s">
        <v>15</v>
      </c>
    </row>
    <row r="16" spans="1:7" x14ac:dyDescent="0.35">
      <c r="A16">
        <v>9.1616401672363281</v>
      </c>
      <c r="B16">
        <v>9</v>
      </c>
      <c r="C16" t="s">
        <v>15</v>
      </c>
      <c r="D16" t="s">
        <v>16</v>
      </c>
    </row>
    <row r="17" spans="1:4" x14ac:dyDescent="0.35">
      <c r="A17">
        <v>5.4336061477661133</v>
      </c>
      <c r="B17">
        <v>5</v>
      </c>
      <c r="C17" t="s">
        <v>15</v>
      </c>
      <c r="D17" t="s">
        <v>15</v>
      </c>
    </row>
    <row r="18" spans="1:4" x14ac:dyDescent="0.35">
      <c r="A18">
        <v>0.22629201412200928</v>
      </c>
      <c r="B18">
        <v>0</v>
      </c>
      <c r="C18" t="s">
        <v>16</v>
      </c>
      <c r="D18" t="s">
        <v>15</v>
      </c>
    </row>
    <row r="19" spans="1:4" x14ac:dyDescent="0.35">
      <c r="A19">
        <v>8.3481712341308594</v>
      </c>
      <c r="B19">
        <v>8</v>
      </c>
      <c r="C19" t="s">
        <v>15</v>
      </c>
      <c r="D19" t="s">
        <v>15</v>
      </c>
    </row>
    <row r="20" spans="1:4" x14ac:dyDescent="0.35">
      <c r="A20">
        <v>9.1371755599975586</v>
      </c>
      <c r="B20">
        <v>9</v>
      </c>
      <c r="C20" t="s">
        <v>15</v>
      </c>
      <c r="D20" t="s">
        <v>15</v>
      </c>
    </row>
    <row r="21" spans="1:4" x14ac:dyDescent="0.35">
      <c r="A21">
        <v>6.9448528289794922</v>
      </c>
      <c r="B21">
        <v>7</v>
      </c>
      <c r="C21" t="s">
        <v>15</v>
      </c>
      <c r="D21" t="s">
        <v>14</v>
      </c>
    </row>
    <row r="22" spans="1:4" x14ac:dyDescent="0.35">
      <c r="A22">
        <v>5.6104011535644531</v>
      </c>
      <c r="B22">
        <v>6</v>
      </c>
      <c r="C22" t="s">
        <v>15</v>
      </c>
      <c r="D22" t="s">
        <v>14</v>
      </c>
    </row>
    <row r="23" spans="1:4" x14ac:dyDescent="0.35">
      <c r="A23">
        <v>0.97973823547363281</v>
      </c>
      <c r="B23">
        <v>1</v>
      </c>
      <c r="C23" t="s">
        <v>14</v>
      </c>
      <c r="D23" t="s">
        <v>15</v>
      </c>
    </row>
    <row r="24" spans="1:4" x14ac:dyDescent="0.35">
      <c r="A24">
        <v>4.2845635414123535</v>
      </c>
      <c r="B24">
        <v>4</v>
      </c>
      <c r="C24" t="s">
        <v>14</v>
      </c>
      <c r="D24" t="s">
        <v>15</v>
      </c>
    </row>
    <row r="25" spans="1:4" x14ac:dyDescent="0.35">
      <c r="A25">
        <v>6.2764205932617188</v>
      </c>
      <c r="B25">
        <v>6</v>
      </c>
      <c r="C25" t="s">
        <v>15</v>
      </c>
      <c r="D25" t="s">
        <v>15</v>
      </c>
    </row>
    <row r="26" spans="1:4" x14ac:dyDescent="0.35">
      <c r="A26">
        <v>6.3174242973327637</v>
      </c>
      <c r="B26">
        <v>6</v>
      </c>
      <c r="C26" t="s">
        <v>15</v>
      </c>
      <c r="D26" t="s">
        <v>14</v>
      </c>
    </row>
    <row r="27" spans="1:4" x14ac:dyDescent="0.35">
      <c r="A27">
        <v>9.1937713623046875</v>
      </c>
      <c r="B27">
        <v>9</v>
      </c>
      <c r="C27" t="s">
        <v>15</v>
      </c>
      <c r="D27" t="s">
        <v>14</v>
      </c>
    </row>
    <row r="28" spans="1:4" x14ac:dyDescent="0.35">
      <c r="A28">
        <v>2.8966503143310547</v>
      </c>
      <c r="B28">
        <v>3</v>
      </c>
      <c r="C28" t="s">
        <v>14</v>
      </c>
      <c r="D28" t="s">
        <v>15</v>
      </c>
    </row>
    <row r="29" spans="1:4" x14ac:dyDescent="0.35">
      <c r="A29">
        <v>3.7890255451202393</v>
      </c>
      <c r="B29">
        <v>4</v>
      </c>
      <c r="C29" t="s">
        <v>14</v>
      </c>
      <c r="D29" t="s">
        <v>14</v>
      </c>
    </row>
    <row r="30" spans="1:4" x14ac:dyDescent="0.35">
      <c r="A30">
        <v>7.8521223068237305</v>
      </c>
      <c r="B30">
        <v>8</v>
      </c>
      <c r="C30" t="s">
        <v>15</v>
      </c>
      <c r="D30" t="s">
        <v>15</v>
      </c>
    </row>
    <row r="31" spans="1:4" x14ac:dyDescent="0.35">
      <c r="A31">
        <v>2.613682746887207</v>
      </c>
      <c r="B31">
        <v>3</v>
      </c>
      <c r="C31" t="s">
        <v>14</v>
      </c>
      <c r="D31" t="s">
        <v>15</v>
      </c>
    </row>
    <row r="32" spans="1:4" x14ac:dyDescent="0.35">
      <c r="A32">
        <v>9.0572986602783203</v>
      </c>
      <c r="B32">
        <v>9</v>
      </c>
      <c r="C32" t="s">
        <v>15</v>
      </c>
      <c r="D32" t="s">
        <v>14</v>
      </c>
    </row>
    <row r="33" spans="1:4" x14ac:dyDescent="0.35">
      <c r="A33">
        <v>4.5797147750854492</v>
      </c>
      <c r="B33">
        <v>5</v>
      </c>
      <c r="C33" t="s">
        <v>15</v>
      </c>
      <c r="D33" t="s">
        <v>15</v>
      </c>
    </row>
    <row r="34" spans="1:4" x14ac:dyDescent="0.35">
      <c r="A34">
        <v>0.80714643001556396</v>
      </c>
      <c r="B34">
        <v>1</v>
      </c>
      <c r="C34" t="s">
        <v>14</v>
      </c>
      <c r="D34" t="s">
        <v>14</v>
      </c>
    </row>
    <row r="35" spans="1:4" x14ac:dyDescent="0.35">
      <c r="A35">
        <v>5.833590030670166</v>
      </c>
      <c r="B35">
        <v>6</v>
      </c>
      <c r="C35" t="s">
        <v>15</v>
      </c>
      <c r="D35" t="s">
        <v>14</v>
      </c>
    </row>
    <row r="36" spans="1:4" x14ac:dyDescent="0.35">
      <c r="A36">
        <v>1.8601351976394653</v>
      </c>
      <c r="B36">
        <v>2</v>
      </c>
      <c r="C36" t="s">
        <v>14</v>
      </c>
      <c r="D36" t="s">
        <v>15</v>
      </c>
    </row>
    <row r="37" spans="1:4" x14ac:dyDescent="0.35">
      <c r="A37">
        <v>2.0756113529205322</v>
      </c>
      <c r="B37">
        <v>2</v>
      </c>
      <c r="C37" t="s">
        <v>14</v>
      </c>
      <c r="D37" t="s">
        <v>14</v>
      </c>
    </row>
    <row r="38" spans="1:4" x14ac:dyDescent="0.35">
      <c r="A38">
        <v>6.3317890167236328</v>
      </c>
      <c r="B38">
        <v>6</v>
      </c>
      <c r="C38" t="s">
        <v>15</v>
      </c>
      <c r="D38" t="s">
        <v>15</v>
      </c>
    </row>
    <row r="39" spans="1:4" x14ac:dyDescent="0.35">
      <c r="A39">
        <v>3.2620620727539063</v>
      </c>
      <c r="B39">
        <v>3</v>
      </c>
      <c r="C39" t="s">
        <v>14</v>
      </c>
      <c r="D39" t="s">
        <v>14</v>
      </c>
    </row>
    <row r="40" spans="1:4" x14ac:dyDescent="0.35">
      <c r="A40">
        <v>7.1273045539855957</v>
      </c>
      <c r="B40">
        <v>7</v>
      </c>
      <c r="C40" t="s">
        <v>15</v>
      </c>
      <c r="D40" t="s">
        <v>14</v>
      </c>
    </row>
    <row r="41" spans="1:4" x14ac:dyDescent="0.35">
      <c r="A41">
        <v>4.1276683807373047</v>
      </c>
      <c r="B41">
        <v>4</v>
      </c>
      <c r="C41" t="s">
        <v>14</v>
      </c>
      <c r="D41" t="s">
        <v>15</v>
      </c>
    </row>
    <row r="42" spans="1:4" x14ac:dyDescent="0.35">
      <c r="A42">
        <v>4.1007323265075684</v>
      </c>
      <c r="B42">
        <v>4</v>
      </c>
      <c r="C42" t="s">
        <v>14</v>
      </c>
      <c r="D42" t="s">
        <v>14</v>
      </c>
    </row>
    <row r="43" spans="1:4" x14ac:dyDescent="0.35">
      <c r="A43">
        <v>6.4658713340759277</v>
      </c>
      <c r="B43">
        <v>6</v>
      </c>
      <c r="C43" t="s">
        <v>15</v>
      </c>
      <c r="D43" t="s">
        <v>14</v>
      </c>
    </row>
    <row r="44" spans="1:4" x14ac:dyDescent="0.35">
      <c r="A44">
        <v>1.6282159090042114</v>
      </c>
      <c r="B44">
        <v>2</v>
      </c>
      <c r="C44" t="s">
        <v>14</v>
      </c>
      <c r="D44" t="s">
        <v>14</v>
      </c>
    </row>
    <row r="45" spans="1:4" x14ac:dyDescent="0.35">
      <c r="A45">
        <v>1.6044151782989502</v>
      </c>
      <c r="B45">
        <v>2</v>
      </c>
      <c r="C45" t="s">
        <v>14</v>
      </c>
      <c r="D45" t="s">
        <v>14</v>
      </c>
    </row>
    <row r="46" spans="1:4" x14ac:dyDescent="0.35">
      <c r="A46">
        <v>2.7827997207641602</v>
      </c>
      <c r="B46">
        <v>3</v>
      </c>
      <c r="C46" t="s">
        <v>14</v>
      </c>
      <c r="D46" t="s">
        <v>15</v>
      </c>
    </row>
    <row r="47" spans="1:4" x14ac:dyDescent="0.35">
      <c r="A47">
        <v>4.0137434005737305</v>
      </c>
      <c r="B47">
        <v>4</v>
      </c>
      <c r="C47" t="s">
        <v>14</v>
      </c>
      <c r="D47" t="s">
        <v>15</v>
      </c>
    </row>
    <row r="48" spans="1:4" x14ac:dyDescent="0.35">
      <c r="A48">
        <v>9.7982940673828125</v>
      </c>
      <c r="B48">
        <v>10</v>
      </c>
      <c r="C48" t="s">
        <v>15</v>
      </c>
      <c r="D48" t="s">
        <v>14</v>
      </c>
    </row>
    <row r="49" spans="1:4" x14ac:dyDescent="0.35">
      <c r="A49">
        <v>9.4857110977172852</v>
      </c>
      <c r="B49">
        <v>9</v>
      </c>
      <c r="C49" t="s">
        <v>15</v>
      </c>
      <c r="D49" t="s">
        <v>14</v>
      </c>
    </row>
    <row r="50" spans="1:4" x14ac:dyDescent="0.35">
      <c r="A50">
        <v>3.0097050666809082</v>
      </c>
      <c r="B50">
        <v>3</v>
      </c>
      <c r="C50" t="s">
        <v>14</v>
      </c>
      <c r="D50" t="s">
        <v>14</v>
      </c>
    </row>
    <row r="51" spans="1:4" x14ac:dyDescent="0.35">
      <c r="A51">
        <v>3.8201069831848145</v>
      </c>
      <c r="B51">
        <v>4</v>
      </c>
      <c r="C51" t="s">
        <v>14</v>
      </c>
      <c r="D51" t="s">
        <v>16</v>
      </c>
    </row>
    <row r="52" spans="1:4" x14ac:dyDescent="0.35">
      <c r="A52">
        <v>2.957728385925293</v>
      </c>
      <c r="B52">
        <v>3</v>
      </c>
      <c r="C52" t="s">
        <v>14</v>
      </c>
      <c r="D52" t="s">
        <v>14</v>
      </c>
    </row>
    <row r="53" spans="1:4" x14ac:dyDescent="0.35">
      <c r="A53">
        <v>0.45649170875549316</v>
      </c>
      <c r="B53">
        <v>0</v>
      </c>
      <c r="C53" t="s">
        <v>16</v>
      </c>
      <c r="D53" t="s">
        <v>15</v>
      </c>
    </row>
    <row r="54" spans="1:4" x14ac:dyDescent="0.35">
      <c r="A54">
        <v>2.8448028564453125</v>
      </c>
      <c r="B54">
        <v>3</v>
      </c>
      <c r="C54" t="s">
        <v>14</v>
      </c>
      <c r="D54" t="s">
        <v>14</v>
      </c>
    </row>
    <row r="55" spans="1:4" x14ac:dyDescent="0.35">
      <c r="A55">
        <v>7.9888439178466797</v>
      </c>
      <c r="B55">
        <v>8</v>
      </c>
      <c r="C55" t="s">
        <v>15</v>
      </c>
      <c r="D55" t="s">
        <v>14</v>
      </c>
    </row>
    <row r="56" spans="1:4" x14ac:dyDescent="0.35">
      <c r="A56">
        <v>1.0302263498306274</v>
      </c>
      <c r="B56">
        <v>1</v>
      </c>
      <c r="C56" t="s">
        <v>14</v>
      </c>
      <c r="D56" t="s">
        <v>15</v>
      </c>
    </row>
    <row r="57" spans="1:4" x14ac:dyDescent="0.35">
      <c r="A57">
        <v>1.0005223751068115</v>
      </c>
      <c r="B57">
        <v>1</v>
      </c>
      <c r="C57" t="s">
        <v>14</v>
      </c>
      <c r="D57" t="s">
        <v>16</v>
      </c>
    </row>
    <row r="58" spans="1:4" x14ac:dyDescent="0.35">
      <c r="A58">
        <v>5.751838207244873</v>
      </c>
      <c r="B58">
        <v>6</v>
      </c>
      <c r="C58" t="s">
        <v>15</v>
      </c>
      <c r="D58" t="s">
        <v>15</v>
      </c>
    </row>
    <row r="59" spans="1:4" x14ac:dyDescent="0.35">
      <c r="A59">
        <v>0.15703916549682617</v>
      </c>
      <c r="B59">
        <v>0</v>
      </c>
      <c r="C59" t="s">
        <v>16</v>
      </c>
      <c r="D59" t="s">
        <v>15</v>
      </c>
    </row>
    <row r="60" spans="1:4" x14ac:dyDescent="0.35">
      <c r="A60">
        <v>6.7617588043212891</v>
      </c>
      <c r="B60">
        <v>7</v>
      </c>
      <c r="C60" t="s">
        <v>15</v>
      </c>
      <c r="D60" t="s">
        <v>14</v>
      </c>
    </row>
    <row r="61" spans="1:4" x14ac:dyDescent="0.35">
      <c r="A61">
        <v>9.994145393371582</v>
      </c>
      <c r="B61">
        <v>10</v>
      </c>
      <c r="C61" t="s">
        <v>15</v>
      </c>
      <c r="D61" t="s">
        <v>15</v>
      </c>
    </row>
    <row r="62" spans="1:4" x14ac:dyDescent="0.35">
      <c r="A62">
        <v>1.0636967420578003</v>
      </c>
      <c r="B62">
        <v>1</v>
      </c>
      <c r="C62" t="s">
        <v>14</v>
      </c>
      <c r="D62" t="s">
        <v>14</v>
      </c>
    </row>
    <row r="63" spans="1:4" x14ac:dyDescent="0.35">
      <c r="A63">
        <v>5.3387308120727539</v>
      </c>
      <c r="B63">
        <v>5</v>
      </c>
      <c r="C63" t="s">
        <v>15</v>
      </c>
      <c r="D63" t="s">
        <v>15</v>
      </c>
    </row>
    <row r="64" spans="1:4" x14ac:dyDescent="0.35">
      <c r="A64">
        <v>2.4393134117126465</v>
      </c>
      <c r="B64">
        <v>2</v>
      </c>
      <c r="C64" t="s">
        <v>14</v>
      </c>
      <c r="D64" t="s">
        <v>15</v>
      </c>
    </row>
    <row r="65" spans="1:4" x14ac:dyDescent="0.35">
      <c r="A65">
        <v>9.8000326156616211</v>
      </c>
      <c r="B65">
        <v>10</v>
      </c>
      <c r="C65" t="s">
        <v>15</v>
      </c>
      <c r="D65" t="s">
        <v>14</v>
      </c>
    </row>
    <row r="66" spans="1:4" x14ac:dyDescent="0.35">
      <c r="A66">
        <v>6.9511551856994629</v>
      </c>
      <c r="B66">
        <v>7</v>
      </c>
      <c r="C66" t="s">
        <v>15</v>
      </c>
      <c r="D66" t="s">
        <v>15</v>
      </c>
    </row>
    <row r="67" spans="1:4" x14ac:dyDescent="0.35">
      <c r="A67">
        <v>2.2686600685119629</v>
      </c>
      <c r="B67">
        <v>2</v>
      </c>
      <c r="C67" t="s">
        <v>14</v>
      </c>
      <c r="D67" t="s">
        <v>15</v>
      </c>
    </row>
    <row r="68" spans="1:4" x14ac:dyDescent="0.35">
      <c r="A68">
        <v>9.1096429824829102</v>
      </c>
      <c r="B68">
        <v>9</v>
      </c>
      <c r="C68" t="s">
        <v>15</v>
      </c>
      <c r="D68" t="s">
        <v>15</v>
      </c>
    </row>
    <row r="69" spans="1:4" x14ac:dyDescent="0.35">
      <c r="A69">
        <v>9.860931396484375</v>
      </c>
      <c r="B69">
        <v>10</v>
      </c>
      <c r="C69" t="s">
        <v>15</v>
      </c>
      <c r="D69" t="s">
        <v>15</v>
      </c>
    </row>
    <row r="70" spans="1:4" x14ac:dyDescent="0.35">
      <c r="A70">
        <v>5.8916301727294922</v>
      </c>
      <c r="B70">
        <v>6</v>
      </c>
      <c r="C70" t="s">
        <v>15</v>
      </c>
      <c r="D70" t="s">
        <v>15</v>
      </c>
    </row>
    <row r="71" spans="1:4" x14ac:dyDescent="0.35">
      <c r="A71">
        <v>8.2460212707519531</v>
      </c>
      <c r="B71">
        <v>8</v>
      </c>
      <c r="C71" t="s">
        <v>15</v>
      </c>
      <c r="D71" t="s">
        <v>14</v>
      </c>
    </row>
    <row r="72" spans="1:4" x14ac:dyDescent="0.35">
      <c r="A72">
        <v>8.2980165481567383</v>
      </c>
      <c r="B72">
        <v>8</v>
      </c>
      <c r="C72" t="s">
        <v>15</v>
      </c>
      <c r="D72" t="s">
        <v>14</v>
      </c>
    </row>
    <row r="73" spans="1:4" x14ac:dyDescent="0.35">
      <c r="A73">
        <v>2.7934205532073975</v>
      </c>
      <c r="B73">
        <v>3</v>
      </c>
      <c r="C73" t="s">
        <v>14</v>
      </c>
      <c r="D73" t="s">
        <v>15</v>
      </c>
    </row>
    <row r="74" spans="1:4" x14ac:dyDescent="0.35">
      <c r="A74">
        <v>2.6379294395446777</v>
      </c>
      <c r="B74">
        <v>3</v>
      </c>
      <c r="C74" t="s">
        <v>14</v>
      </c>
      <c r="D74" t="s">
        <v>15</v>
      </c>
    </row>
    <row r="75" spans="1:4" x14ac:dyDescent="0.35">
      <c r="A75">
        <v>6.4782118797302246</v>
      </c>
      <c r="B75">
        <v>6</v>
      </c>
      <c r="C75" t="s">
        <v>15</v>
      </c>
      <c r="D75" t="s">
        <v>14</v>
      </c>
    </row>
    <row r="76" spans="1:4" x14ac:dyDescent="0.35">
      <c r="A76">
        <v>6.2269668579101563</v>
      </c>
      <c r="B76">
        <v>6</v>
      </c>
      <c r="C76" t="s">
        <v>15</v>
      </c>
      <c r="D76" t="s">
        <v>15</v>
      </c>
    </row>
    <row r="77" spans="1:4" x14ac:dyDescent="0.35">
      <c r="A77">
        <v>2.9816544055938721</v>
      </c>
      <c r="B77">
        <v>3</v>
      </c>
      <c r="C77" t="s">
        <v>14</v>
      </c>
      <c r="D77" t="s">
        <v>15</v>
      </c>
    </row>
    <row r="78" spans="1:4" x14ac:dyDescent="0.35">
      <c r="A78">
        <v>4.6870012283325195</v>
      </c>
      <c r="B78">
        <v>5</v>
      </c>
      <c r="C78" t="s">
        <v>15</v>
      </c>
      <c r="D78" t="s">
        <v>14</v>
      </c>
    </row>
    <row r="79" spans="1:4" x14ac:dyDescent="0.35">
      <c r="A79">
        <v>5.9245824813842773</v>
      </c>
      <c r="B79">
        <v>6</v>
      </c>
      <c r="C79" t="s">
        <v>15</v>
      </c>
      <c r="D79" t="s">
        <v>15</v>
      </c>
    </row>
    <row r="80" spans="1:4" x14ac:dyDescent="0.35">
      <c r="A80">
        <v>0.53504526615142822</v>
      </c>
      <c r="B80">
        <v>1</v>
      </c>
      <c r="C80" t="s">
        <v>14</v>
      </c>
      <c r="D80" t="s">
        <v>15</v>
      </c>
    </row>
    <row r="81" spans="1:4" x14ac:dyDescent="0.35">
      <c r="A81">
        <v>7.671116828918457</v>
      </c>
      <c r="B81">
        <v>8</v>
      </c>
      <c r="C81" t="s">
        <v>15</v>
      </c>
      <c r="D81" t="s">
        <v>14</v>
      </c>
    </row>
    <row r="82" spans="1:4" x14ac:dyDescent="0.35">
      <c r="A82">
        <v>5.2486844062805176</v>
      </c>
      <c r="B82">
        <v>5</v>
      </c>
      <c r="C82" t="s">
        <v>15</v>
      </c>
      <c r="D82" t="s">
        <v>15</v>
      </c>
    </row>
    <row r="83" spans="1:4" x14ac:dyDescent="0.35">
      <c r="A83">
        <v>3.6401867866516113</v>
      </c>
      <c r="B83">
        <v>4</v>
      </c>
      <c r="C83" t="s">
        <v>14</v>
      </c>
      <c r="D83" t="s">
        <v>14</v>
      </c>
    </row>
    <row r="84" spans="1:4" x14ac:dyDescent="0.35">
      <c r="A84">
        <v>9.4955663681030273</v>
      </c>
      <c r="B84">
        <v>9</v>
      </c>
      <c r="C84" t="s">
        <v>15</v>
      </c>
      <c r="D84" t="s">
        <v>15</v>
      </c>
    </row>
    <row r="85" spans="1:4" x14ac:dyDescent="0.35">
      <c r="A85">
        <v>0.56236863136291504</v>
      </c>
      <c r="B85">
        <v>1</v>
      </c>
      <c r="C85" t="s">
        <v>14</v>
      </c>
      <c r="D85" t="s">
        <v>15</v>
      </c>
    </row>
    <row r="86" spans="1:4" x14ac:dyDescent="0.35">
      <c r="A86">
        <v>8.7144584655761719</v>
      </c>
      <c r="B86">
        <v>9</v>
      </c>
      <c r="C86" t="s">
        <v>15</v>
      </c>
      <c r="D86" t="s">
        <v>14</v>
      </c>
    </row>
    <row r="87" spans="1:4" x14ac:dyDescent="0.35">
      <c r="A87">
        <v>9.6195316314697266</v>
      </c>
      <c r="B87">
        <v>10</v>
      </c>
      <c r="C87" t="s">
        <v>15</v>
      </c>
      <c r="D87" t="s">
        <v>15</v>
      </c>
    </row>
    <row r="88" spans="1:4" x14ac:dyDescent="0.35">
      <c r="A88">
        <v>3.7353615760803223</v>
      </c>
      <c r="B88">
        <v>4</v>
      </c>
      <c r="C88" t="s">
        <v>14</v>
      </c>
      <c r="D88" t="s">
        <v>15</v>
      </c>
    </row>
    <row r="89" spans="1:4" x14ac:dyDescent="0.35">
      <c r="A89">
        <v>7.9048004150390625</v>
      </c>
      <c r="B89">
        <v>8</v>
      </c>
      <c r="C89" t="s">
        <v>15</v>
      </c>
      <c r="D89" t="s">
        <v>14</v>
      </c>
    </row>
    <row r="90" spans="1:4" x14ac:dyDescent="0.35">
      <c r="A90">
        <v>8.6261930465698242</v>
      </c>
      <c r="B90">
        <v>9</v>
      </c>
      <c r="C90" t="s">
        <v>15</v>
      </c>
      <c r="D90" t="s">
        <v>16</v>
      </c>
    </row>
    <row r="91" spans="1:4" x14ac:dyDescent="0.35">
      <c r="A91">
        <v>4.140326976776123</v>
      </c>
      <c r="B91">
        <v>4</v>
      </c>
      <c r="C91" t="s">
        <v>14</v>
      </c>
      <c r="D91" t="s">
        <v>15</v>
      </c>
    </row>
    <row r="92" spans="1:4" x14ac:dyDescent="0.35">
      <c r="A92">
        <v>0.45352756977081299</v>
      </c>
      <c r="B92">
        <v>0</v>
      </c>
      <c r="C92" t="s">
        <v>16</v>
      </c>
      <c r="D92" t="s">
        <v>15</v>
      </c>
    </row>
    <row r="93" spans="1:4" x14ac:dyDescent="0.35">
      <c r="A93">
        <v>7.0903787612915039</v>
      </c>
      <c r="B93">
        <v>7</v>
      </c>
      <c r="C93" t="s">
        <v>15</v>
      </c>
      <c r="D93" t="s">
        <v>15</v>
      </c>
    </row>
    <row r="94" spans="1:4" x14ac:dyDescent="0.35">
      <c r="A94">
        <v>8.1449003219604492</v>
      </c>
      <c r="B94">
        <v>8</v>
      </c>
      <c r="C94" t="s">
        <v>15</v>
      </c>
      <c r="D94" t="s">
        <v>16</v>
      </c>
    </row>
    <row r="95" spans="1:4" x14ac:dyDescent="0.35">
      <c r="A95">
        <v>7.6072359085083008</v>
      </c>
      <c r="B95">
        <v>8</v>
      </c>
      <c r="C95" t="s">
        <v>15</v>
      </c>
      <c r="D95" t="s">
        <v>15</v>
      </c>
    </row>
    <row r="96" spans="1:4" x14ac:dyDescent="0.35">
      <c r="A96">
        <v>0.14017641544342041</v>
      </c>
      <c r="B96">
        <v>0</v>
      </c>
      <c r="C96" t="s">
        <v>16</v>
      </c>
      <c r="D96" t="s">
        <v>14</v>
      </c>
    </row>
    <row r="97" spans="1:6" x14ac:dyDescent="0.35">
      <c r="A97">
        <v>7.747401237487793</v>
      </c>
      <c r="B97">
        <v>8</v>
      </c>
      <c r="C97" t="s">
        <v>15</v>
      </c>
      <c r="D97" t="s">
        <v>14</v>
      </c>
    </row>
    <row r="98" spans="1:6" x14ac:dyDescent="0.35">
      <c r="A98">
        <v>3.0194802284240723</v>
      </c>
      <c r="B98">
        <v>3</v>
      </c>
      <c r="C98" t="s">
        <v>14</v>
      </c>
      <c r="D98" t="s">
        <v>15</v>
      </c>
    </row>
    <row r="99" spans="1:6" x14ac:dyDescent="0.35">
      <c r="A99">
        <v>2.8956246376037598</v>
      </c>
      <c r="B99">
        <v>3</v>
      </c>
      <c r="C99" t="s">
        <v>14</v>
      </c>
      <c r="D99" t="s">
        <v>15</v>
      </c>
    </row>
    <row r="100" spans="1:6" x14ac:dyDescent="0.35">
      <c r="A100">
        <v>5.7951860427856445</v>
      </c>
      <c r="B100">
        <v>6</v>
      </c>
      <c r="C100" t="s">
        <v>15</v>
      </c>
      <c r="D100" t="s">
        <v>15</v>
      </c>
    </row>
    <row r="103" spans="1:6" x14ac:dyDescent="0.35">
      <c r="F103" cm="1">
        <f t="array" ref="F103">Randb(10)</f>
        <v>3.0194801092147827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19A4A-2DF6-407C-BF97-C3B2C069E0B2}">
  <sheetPr codeName="Sheet7"/>
  <dimension ref="A1:V31"/>
  <sheetViews>
    <sheetView workbookViewId="0">
      <selection activeCell="E16" sqref="E16"/>
    </sheetView>
  </sheetViews>
  <sheetFormatPr defaultRowHeight="14.5" x14ac:dyDescent="0.35"/>
  <cols>
    <col min="10" max="10" width="11.81640625" bestFit="1" customWidth="1"/>
  </cols>
  <sheetData>
    <row r="1" spans="1:15" x14ac:dyDescent="0.35">
      <c r="A1">
        <v>134</v>
      </c>
      <c r="D1">
        <v>2</v>
      </c>
      <c r="E1">
        <v>2</v>
      </c>
    </row>
    <row r="2" spans="1:15" x14ac:dyDescent="0.35">
      <c r="A2">
        <v>146</v>
      </c>
      <c r="D2">
        <v>3</v>
      </c>
      <c r="E2">
        <v>8</v>
      </c>
    </row>
    <row r="3" spans="1:15" x14ac:dyDescent="0.35">
      <c r="A3">
        <v>104</v>
      </c>
      <c r="D3">
        <v>4</v>
      </c>
      <c r="E3">
        <v>10</v>
      </c>
    </row>
    <row r="4" spans="1:15" x14ac:dyDescent="0.35">
      <c r="A4">
        <v>119</v>
      </c>
      <c r="D4">
        <v>6</v>
      </c>
      <c r="E4">
        <v>2</v>
      </c>
    </row>
    <row r="5" spans="1:15" x14ac:dyDescent="0.35">
      <c r="A5">
        <v>124</v>
      </c>
      <c r="D5">
        <v>9</v>
      </c>
      <c r="E5">
        <v>3</v>
      </c>
      <c r="I5" cm="1">
        <f t="array" ref="I5:J9">LINEST(E1:E8,D1:D8,TRUE,TRUE)</f>
        <v>1.4249137259267526E-2</v>
      </c>
      <c r="J5">
        <v>4.8307914950461983</v>
      </c>
    </row>
    <row r="6" spans="1:15" x14ac:dyDescent="0.35">
      <c r="A6">
        <v>161</v>
      </c>
      <c r="D6">
        <v>10</v>
      </c>
      <c r="E6">
        <v>4</v>
      </c>
      <c r="I6">
        <v>9.2601372067058915E-2</v>
      </c>
      <c r="J6">
        <v>1.5533172872391496</v>
      </c>
    </row>
    <row r="7" spans="1:15" x14ac:dyDescent="0.35">
      <c r="A7">
        <v>107</v>
      </c>
      <c r="D7">
        <v>22</v>
      </c>
      <c r="E7">
        <v>5</v>
      </c>
      <c r="I7">
        <v>3.9307964853151625E-3</v>
      </c>
      <c r="J7">
        <v>3.1030096627804142</v>
      </c>
    </row>
    <row r="8" spans="1:15" x14ac:dyDescent="0.35">
      <c r="B8">
        <f>AVERAGE(A1:A7)-_xlfn.CONFIDENCE.T(0.95,_xlfn.STDEV.S(A1:A7),7)</f>
        <v>127.34647018578147</v>
      </c>
      <c r="D8">
        <v>39</v>
      </c>
      <c r="E8">
        <v>6</v>
      </c>
      <c r="I8">
        <v>2.367785172824417E-2</v>
      </c>
      <c r="J8">
        <v>6</v>
      </c>
    </row>
    <row r="9" spans="1:15" x14ac:dyDescent="0.35">
      <c r="I9">
        <v>0.22798619614827942</v>
      </c>
      <c r="J9">
        <v>57.772013803851721</v>
      </c>
    </row>
    <row r="10" spans="1:15" x14ac:dyDescent="0.35">
      <c r="A10" cm="1">
        <f t="array" ref="A10">CITL(0.95,A1:A7)</f>
        <v>127.34647018578147</v>
      </c>
      <c r="D10" t="str" cm="1">
        <f t="array" ref="D10">linearf(E1:E8,D1:D8,TRUE)</f>
        <v>Y=4.8307914950462+1.42491372592675E-02*X1</v>
      </c>
    </row>
    <row r="11" spans="1:15" x14ac:dyDescent="0.35">
      <c r="D11" cm="1">
        <f t="array" ref="D11">linearft(E1:E8,D1:D8,TRUE)</f>
        <v>0.8827525729028598</v>
      </c>
    </row>
    <row r="12" spans="1:15" x14ac:dyDescent="0.35">
      <c r="D12" t="str" cm="1">
        <f t="array" ref="D12">linearf(A1:A7,D1:E7,TRUE)</f>
        <v>Y=143.742791046529+-0.955503745673724*X1+-1.69680375199935*X2</v>
      </c>
    </row>
    <row r="13" spans="1:15" x14ac:dyDescent="0.35">
      <c r="D13" cm="1">
        <f t="array" ref="D13">linearft(A1:A7,D1:E7,TRUE)</f>
        <v>0.73041866150835888</v>
      </c>
      <c r="I13" cm="1">
        <f t="array" ref="I13:K17">LINEST(A1:A7,D1:E7,TRUE,TRUE)</f>
        <v>-1.6968037519993484</v>
      </c>
      <c r="J13">
        <v>-0.95550374567372387</v>
      </c>
      <c r="K13">
        <v>143.74279104652948</v>
      </c>
      <c r="N13" t="s">
        <v>24</v>
      </c>
    </row>
    <row r="14" spans="1:15" ht="15" thickBot="1" x14ac:dyDescent="0.4">
      <c r="I14">
        <v>3.1253700622147771</v>
      </c>
      <c r="J14">
        <v>1.4033610209596199</v>
      </c>
      <c r="K14">
        <v>21.796580718084769</v>
      </c>
    </row>
    <row r="15" spans="1:15" x14ac:dyDescent="0.35">
      <c r="I15">
        <v>0.14535465746991932</v>
      </c>
      <c r="J15">
        <v>23.400501707831005</v>
      </c>
      <c r="K15" t="e">
        <v>#N/A</v>
      </c>
      <c r="N15" s="5" t="s">
        <v>25</v>
      </c>
      <c r="O15" s="5"/>
    </row>
    <row r="16" spans="1:15" x14ac:dyDescent="0.35">
      <c r="I16">
        <v>0.3401519910928511</v>
      </c>
      <c r="J16">
        <v>4</v>
      </c>
      <c r="K16" t="e">
        <v>#N/A</v>
      </c>
      <c r="N16" t="s">
        <v>26</v>
      </c>
      <c r="O16">
        <v>0.38125405895533665</v>
      </c>
    </row>
    <row r="17" spans="9:22" x14ac:dyDescent="0.35">
      <c r="I17">
        <v>372.52322214433616</v>
      </c>
      <c r="J17">
        <v>2190.333920712807</v>
      </c>
      <c r="K17" t="e">
        <v>#N/A</v>
      </c>
      <c r="N17" t="s">
        <v>27</v>
      </c>
      <c r="O17">
        <v>0.14535465746991932</v>
      </c>
    </row>
    <row r="18" spans="9:22" x14ac:dyDescent="0.35">
      <c r="N18" t="s">
        <v>28</v>
      </c>
      <c r="O18">
        <v>-0.28196801379512104</v>
      </c>
    </row>
    <row r="19" spans="9:22" x14ac:dyDescent="0.35">
      <c r="N19" t="s">
        <v>29</v>
      </c>
      <c r="O19">
        <v>23.400501707831005</v>
      </c>
    </row>
    <row r="20" spans="9:22" ht="15" thickBot="1" x14ac:dyDescent="0.4">
      <c r="N20" s="3" t="s">
        <v>30</v>
      </c>
      <c r="O20" s="3">
        <v>7</v>
      </c>
    </row>
    <row r="22" spans="9:22" ht="15" thickBot="1" x14ac:dyDescent="0.4">
      <c r="N22" t="s">
        <v>31</v>
      </c>
    </row>
    <row r="23" spans="9:22" x14ac:dyDescent="0.35">
      <c r="N23" s="4"/>
      <c r="O23" s="4" t="s">
        <v>36</v>
      </c>
      <c r="P23" s="4" t="s">
        <v>37</v>
      </c>
      <c r="Q23" s="4" t="s">
        <v>38</v>
      </c>
      <c r="R23" s="4" t="s">
        <v>39</v>
      </c>
      <c r="S23" s="4" t="s">
        <v>40</v>
      </c>
    </row>
    <row r="24" spans="9:22" x14ac:dyDescent="0.35">
      <c r="N24" t="s">
        <v>32</v>
      </c>
      <c r="O24">
        <v>2</v>
      </c>
      <c r="P24">
        <v>372.52322214433616</v>
      </c>
      <c r="Q24">
        <v>186.26161107216808</v>
      </c>
      <c r="R24">
        <v>0.3401519910928511</v>
      </c>
      <c r="S24">
        <v>0.73041866150835888</v>
      </c>
    </row>
    <row r="25" spans="9:22" x14ac:dyDescent="0.35">
      <c r="N25" t="s">
        <v>33</v>
      </c>
      <c r="O25">
        <v>4</v>
      </c>
      <c r="P25">
        <v>2190.333920712807</v>
      </c>
      <c r="Q25">
        <v>547.58348017820174</v>
      </c>
    </row>
    <row r="26" spans="9:22" ht="15" thickBot="1" x14ac:dyDescent="0.4">
      <c r="N26" s="3" t="s">
        <v>34</v>
      </c>
      <c r="O26" s="3">
        <v>6</v>
      </c>
      <c r="P26" s="3">
        <v>2562.8571428571431</v>
      </c>
      <c r="Q26" s="3"/>
      <c r="R26" s="3"/>
      <c r="S26" s="3"/>
    </row>
    <row r="27" spans="9:22" ht="15" thickBot="1" x14ac:dyDescent="0.4"/>
    <row r="28" spans="9:22" x14ac:dyDescent="0.35">
      <c r="N28" s="4"/>
      <c r="O28" s="4" t="s">
        <v>41</v>
      </c>
      <c r="P28" s="4" t="s">
        <v>29</v>
      </c>
      <c r="Q28" s="4" t="s">
        <v>42</v>
      </c>
      <c r="R28" s="4" t="s">
        <v>43</v>
      </c>
      <c r="S28" s="4" t="s">
        <v>44</v>
      </c>
      <c r="T28" s="4" t="s">
        <v>45</v>
      </c>
      <c r="U28" s="4" t="s">
        <v>46</v>
      </c>
      <c r="V28" s="4" t="s">
        <v>47</v>
      </c>
    </row>
    <row r="29" spans="9:22" x14ac:dyDescent="0.35">
      <c r="N29" t="s">
        <v>35</v>
      </c>
      <c r="O29">
        <v>143.74279104652948</v>
      </c>
      <c r="P29">
        <v>21.796580718084769</v>
      </c>
      <c r="Q29">
        <v>6.5947403817914028</v>
      </c>
      <c r="R29">
        <v>2.7387737484520606E-3</v>
      </c>
      <c r="S29">
        <v>83.225781201754415</v>
      </c>
      <c r="T29">
        <v>204.25980089130454</v>
      </c>
      <c r="U29">
        <v>83.225781201754415</v>
      </c>
      <c r="V29">
        <v>204.25980089130454</v>
      </c>
    </row>
    <row r="30" spans="9:22" x14ac:dyDescent="0.35">
      <c r="N30" t="s">
        <v>48</v>
      </c>
      <c r="O30">
        <v>-0.95550374567372387</v>
      </c>
      <c r="P30">
        <v>1.4033610209596199</v>
      </c>
      <c r="Q30">
        <v>-0.68086809552423599</v>
      </c>
      <c r="R30">
        <v>0.53332877734671946</v>
      </c>
      <c r="S30">
        <v>-4.8518585831424383</v>
      </c>
      <c r="T30">
        <v>2.9408510917949906</v>
      </c>
      <c r="U30">
        <v>-4.8518585831424383</v>
      </c>
      <c r="V30">
        <v>2.9408510917949906</v>
      </c>
    </row>
    <row r="31" spans="9:22" ht="15" thickBot="1" x14ac:dyDescent="0.4">
      <c r="N31" s="3" t="s">
        <v>49</v>
      </c>
      <c r="O31" s="3">
        <v>-1.6968037519993484</v>
      </c>
      <c r="P31" s="3">
        <v>3.1253700622147771</v>
      </c>
      <c r="Q31" s="3">
        <v>-0.54291290894266686</v>
      </c>
      <c r="R31" s="3">
        <v>0.61602632006690627</v>
      </c>
      <c r="S31" s="3">
        <v>-10.374222163167291</v>
      </c>
      <c r="T31" s="3">
        <v>6.9806146591685936</v>
      </c>
      <c r="U31" s="3">
        <v>-10.374222163167291</v>
      </c>
      <c r="V31" s="3">
        <v>6.9806146591685936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88847-4A40-4B30-9F3F-06D629F14784}">
  <sheetPr codeName="Sheet4"/>
  <dimension ref="A1:M23"/>
  <sheetViews>
    <sheetView tabSelected="1" workbookViewId="0">
      <selection sqref="A1:F22"/>
    </sheetView>
  </sheetViews>
  <sheetFormatPr defaultRowHeight="14.5" x14ac:dyDescent="0.35"/>
  <cols>
    <col min="8" max="8" width="16.90625" customWidth="1"/>
  </cols>
  <sheetData>
    <row r="1" spans="1:13" x14ac:dyDescent="0.35">
      <c r="A1">
        <v>100</v>
      </c>
      <c r="B1">
        <v>20</v>
      </c>
      <c r="C1">
        <v>15</v>
      </c>
      <c r="D1">
        <v>15</v>
      </c>
      <c r="I1">
        <v>15</v>
      </c>
      <c r="J1">
        <v>15</v>
      </c>
      <c r="K1">
        <v>15</v>
      </c>
      <c r="L1">
        <v>15</v>
      </c>
      <c r="M1">
        <v>20</v>
      </c>
    </row>
    <row r="2" spans="1:13" x14ac:dyDescent="0.35">
      <c r="A2">
        <v>200</v>
      </c>
      <c r="B2">
        <v>1</v>
      </c>
      <c r="C2">
        <v>1</v>
      </c>
      <c r="D2">
        <v>1</v>
      </c>
      <c r="E2">
        <v>20</v>
      </c>
      <c r="F2">
        <v>25</v>
      </c>
      <c r="I2">
        <v>1</v>
      </c>
      <c r="J2">
        <v>1</v>
      </c>
      <c r="K2">
        <v>1</v>
      </c>
      <c r="L2">
        <v>1</v>
      </c>
      <c r="M2">
        <v>1</v>
      </c>
    </row>
    <row r="3" spans="1:13" x14ac:dyDescent="0.35">
      <c r="A3">
        <v>200</v>
      </c>
      <c r="B3">
        <v>1</v>
      </c>
      <c r="C3">
        <v>1</v>
      </c>
      <c r="D3">
        <v>1</v>
      </c>
      <c r="H3">
        <v>100</v>
      </c>
      <c r="I3">
        <v>1</v>
      </c>
      <c r="J3">
        <v>1</v>
      </c>
      <c r="K3">
        <v>1</v>
      </c>
      <c r="L3">
        <v>1</v>
      </c>
      <c r="M3">
        <v>1</v>
      </c>
    </row>
    <row r="4" spans="1:13" x14ac:dyDescent="0.35">
      <c r="A4">
        <v>200</v>
      </c>
      <c r="B4">
        <v>20</v>
      </c>
      <c r="C4">
        <v>15</v>
      </c>
      <c r="D4">
        <v>15</v>
      </c>
      <c r="I4">
        <v>15</v>
      </c>
      <c r="J4">
        <v>15</v>
      </c>
      <c r="K4">
        <v>15</v>
      </c>
      <c r="L4">
        <v>15</v>
      </c>
      <c r="M4">
        <v>20</v>
      </c>
    </row>
    <row r="5" spans="1:13" x14ac:dyDescent="0.35">
      <c r="A5">
        <v>200</v>
      </c>
      <c r="B5">
        <v>20</v>
      </c>
      <c r="C5">
        <v>15</v>
      </c>
      <c r="D5">
        <v>15</v>
      </c>
      <c r="H5" s="2">
        <f>0.1+0.3</f>
        <v>0.4</v>
      </c>
      <c r="I5">
        <v>15</v>
      </c>
      <c r="J5">
        <v>15</v>
      </c>
      <c r="K5">
        <v>15</v>
      </c>
      <c r="L5">
        <v>15</v>
      </c>
      <c r="M5">
        <v>20</v>
      </c>
    </row>
    <row r="6" spans="1:13" x14ac:dyDescent="0.35">
      <c r="A6">
        <v>200</v>
      </c>
      <c r="B6">
        <v>20</v>
      </c>
      <c r="H6" s="1" t="s">
        <v>52</v>
      </c>
      <c r="M6">
        <v>20</v>
      </c>
    </row>
    <row r="7" spans="1:13" x14ac:dyDescent="0.35">
      <c r="A7">
        <v>200</v>
      </c>
      <c r="B7">
        <v>20</v>
      </c>
      <c r="H7">
        <f>0.1+0.3</f>
        <v>0.4</v>
      </c>
      <c r="M7">
        <v>20</v>
      </c>
    </row>
    <row r="8" spans="1:13" x14ac:dyDescent="0.35">
      <c r="A8">
        <v>200</v>
      </c>
      <c r="B8">
        <v>20</v>
      </c>
      <c r="H8">
        <v>0.4</v>
      </c>
      <c r="M8">
        <v>20</v>
      </c>
    </row>
    <row r="9" spans="1:13" x14ac:dyDescent="0.35">
      <c r="A9">
        <v>200</v>
      </c>
      <c r="B9">
        <v>20</v>
      </c>
      <c r="M9">
        <v>20</v>
      </c>
    </row>
    <row r="10" spans="1:13" x14ac:dyDescent="0.35">
      <c r="A10">
        <v>200</v>
      </c>
      <c r="B10">
        <v>20</v>
      </c>
      <c r="M10">
        <v>200</v>
      </c>
    </row>
    <row r="11" spans="1:13" x14ac:dyDescent="0.35">
      <c r="A11">
        <v>1700</v>
      </c>
      <c r="B11">
        <v>100</v>
      </c>
      <c r="M11">
        <v>120</v>
      </c>
    </row>
    <row r="12" spans="1:13" x14ac:dyDescent="0.35">
      <c r="A12">
        <v>200</v>
      </c>
      <c r="B12">
        <v>20</v>
      </c>
      <c r="C12">
        <v>15</v>
      </c>
      <c r="M12">
        <v>20</v>
      </c>
    </row>
    <row r="13" spans="1:13" x14ac:dyDescent="0.35">
      <c r="A13">
        <v>200</v>
      </c>
      <c r="B13">
        <v>1</v>
      </c>
      <c r="C13">
        <v>1</v>
      </c>
      <c r="M13">
        <v>1</v>
      </c>
    </row>
    <row r="14" spans="1:13" x14ac:dyDescent="0.35">
      <c r="A14">
        <v>200</v>
      </c>
      <c r="B14">
        <v>1</v>
      </c>
      <c r="C14">
        <v>1</v>
      </c>
      <c r="M14">
        <v>1</v>
      </c>
    </row>
    <row r="15" spans="1:13" x14ac:dyDescent="0.35">
      <c r="A15">
        <v>200</v>
      </c>
      <c r="B15">
        <v>20</v>
      </c>
      <c r="C15">
        <v>15</v>
      </c>
      <c r="M15">
        <v>20</v>
      </c>
    </row>
    <row r="16" spans="1:13" x14ac:dyDescent="0.35">
      <c r="A16">
        <v>200</v>
      </c>
      <c r="B16">
        <v>20</v>
      </c>
      <c r="C16">
        <v>15</v>
      </c>
      <c r="M16">
        <v>20</v>
      </c>
    </row>
    <row r="17" spans="1:13" x14ac:dyDescent="0.35">
      <c r="A17">
        <v>200</v>
      </c>
      <c r="B17">
        <v>20</v>
      </c>
      <c r="M17">
        <v>20</v>
      </c>
    </row>
    <row r="18" spans="1:13" x14ac:dyDescent="0.35">
      <c r="A18">
        <v>200</v>
      </c>
      <c r="B18">
        <v>20</v>
      </c>
      <c r="M18">
        <v>20</v>
      </c>
    </row>
    <row r="19" spans="1:13" x14ac:dyDescent="0.35">
      <c r="A19">
        <v>200</v>
      </c>
      <c r="B19">
        <v>20</v>
      </c>
      <c r="M19">
        <v>20</v>
      </c>
    </row>
    <row r="20" spans="1:13" x14ac:dyDescent="0.35">
      <c r="A20">
        <v>200</v>
      </c>
      <c r="B20">
        <v>20</v>
      </c>
      <c r="M20">
        <v>20</v>
      </c>
    </row>
    <row r="21" spans="1:13" x14ac:dyDescent="0.35">
      <c r="A21">
        <v>5</v>
      </c>
      <c r="B21">
        <v>20</v>
      </c>
      <c r="M21">
        <v>20</v>
      </c>
    </row>
    <row r="22" spans="1:13" x14ac:dyDescent="0.35">
      <c r="B22">
        <v>100</v>
      </c>
      <c r="M22">
        <v>120</v>
      </c>
    </row>
    <row r="23" spans="1:13" x14ac:dyDescent="0.35">
      <c r="M23">
        <v>588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4F21-0F0D-40D7-92BB-DF1500ABEC54}">
  <sheetPr codeName="Sheet12"/>
  <dimension ref="A1:M23"/>
  <sheetViews>
    <sheetView workbookViewId="0">
      <selection activeCell="A3" sqref="A3:XFD3"/>
    </sheetView>
  </sheetViews>
  <sheetFormatPr defaultRowHeight="14.5" x14ac:dyDescent="0.35"/>
  <cols>
    <col min="8" max="8" width="16.90625" customWidth="1"/>
  </cols>
  <sheetData>
    <row r="1" spans="1:13" x14ac:dyDescent="0.35">
      <c r="A1">
        <v>100</v>
      </c>
      <c r="B1">
        <v>20</v>
      </c>
      <c r="C1">
        <v>15</v>
      </c>
      <c r="D1">
        <v>15</v>
      </c>
      <c r="I1">
        <v>15</v>
      </c>
      <c r="J1">
        <v>15</v>
      </c>
      <c r="K1">
        <v>15</v>
      </c>
      <c r="L1">
        <v>15</v>
      </c>
      <c r="M1">
        <v>20</v>
      </c>
    </row>
    <row r="2" spans="1:13" x14ac:dyDescent="0.35">
      <c r="A2">
        <v>250</v>
      </c>
      <c r="B2">
        <v>1</v>
      </c>
      <c r="C2">
        <v>1</v>
      </c>
      <c r="D2">
        <v>1</v>
      </c>
      <c r="E2">
        <v>20</v>
      </c>
      <c r="F2">
        <v>25</v>
      </c>
      <c r="I2">
        <v>1</v>
      </c>
      <c r="J2">
        <v>1</v>
      </c>
      <c r="K2">
        <v>1</v>
      </c>
      <c r="L2">
        <v>1</v>
      </c>
      <c r="M2">
        <v>1</v>
      </c>
    </row>
    <row r="3" spans="1:13" x14ac:dyDescent="0.35">
      <c r="A3">
        <v>250</v>
      </c>
      <c r="B3">
        <v>1</v>
      </c>
      <c r="C3">
        <v>1</v>
      </c>
      <c r="D3">
        <v>1</v>
      </c>
      <c r="H3">
        <v>100</v>
      </c>
      <c r="I3">
        <v>1</v>
      </c>
      <c r="J3">
        <v>1</v>
      </c>
      <c r="K3">
        <v>1</v>
      </c>
      <c r="L3">
        <v>1</v>
      </c>
      <c r="M3">
        <v>1</v>
      </c>
    </row>
    <row r="4" spans="1:13" x14ac:dyDescent="0.35">
      <c r="A4">
        <v>200</v>
      </c>
      <c r="B4">
        <v>20</v>
      </c>
      <c r="C4">
        <v>15</v>
      </c>
      <c r="D4">
        <v>15</v>
      </c>
      <c r="I4">
        <v>15</v>
      </c>
      <c r="J4">
        <v>15</v>
      </c>
      <c r="K4">
        <v>15</v>
      </c>
      <c r="L4">
        <v>15</v>
      </c>
      <c r="M4">
        <v>20</v>
      </c>
    </row>
    <row r="5" spans="1:13" x14ac:dyDescent="0.35">
      <c r="A5">
        <v>200</v>
      </c>
      <c r="B5">
        <v>20</v>
      </c>
      <c r="C5">
        <v>15</v>
      </c>
      <c r="D5">
        <v>15</v>
      </c>
      <c r="H5" s="2">
        <f>0.1+0.3</f>
        <v>0.4</v>
      </c>
      <c r="I5">
        <v>15</v>
      </c>
      <c r="J5">
        <v>15</v>
      </c>
      <c r="K5">
        <v>15</v>
      </c>
      <c r="L5">
        <v>15</v>
      </c>
      <c r="M5">
        <v>20</v>
      </c>
    </row>
    <row r="6" spans="1:13" x14ac:dyDescent="0.35">
      <c r="A6">
        <v>200</v>
      </c>
      <c r="B6">
        <v>20</v>
      </c>
      <c r="H6" s="1">
        <v>0.39999999999999997</v>
      </c>
      <c r="M6">
        <v>20</v>
      </c>
    </row>
    <row r="7" spans="1:13" x14ac:dyDescent="0.35">
      <c r="A7">
        <v>200</v>
      </c>
      <c r="B7">
        <v>20</v>
      </c>
      <c r="H7">
        <f>0.1+0.3</f>
        <v>0.4</v>
      </c>
      <c r="M7">
        <v>20</v>
      </c>
    </row>
    <row r="8" spans="1:13" x14ac:dyDescent="0.35">
      <c r="A8">
        <v>200</v>
      </c>
      <c r="B8">
        <v>20</v>
      </c>
      <c r="H8">
        <v>0.4</v>
      </c>
      <c r="M8">
        <v>20</v>
      </c>
    </row>
    <row r="9" spans="1:13" x14ac:dyDescent="0.35">
      <c r="A9">
        <v>200</v>
      </c>
      <c r="B9">
        <v>20</v>
      </c>
      <c r="M9">
        <v>20</v>
      </c>
    </row>
    <row r="10" spans="1:13" x14ac:dyDescent="0.35">
      <c r="B10">
        <v>200</v>
      </c>
      <c r="M10">
        <v>200</v>
      </c>
    </row>
    <row r="11" spans="1:13" x14ac:dyDescent="0.35">
      <c r="A11">
        <v>1525</v>
      </c>
      <c r="B11">
        <v>120</v>
      </c>
      <c r="M11">
        <v>120</v>
      </c>
    </row>
    <row r="12" spans="1:13" x14ac:dyDescent="0.35">
      <c r="A12">
        <v>5</v>
      </c>
      <c r="B12">
        <v>20</v>
      </c>
      <c r="C12">
        <v>15</v>
      </c>
      <c r="M12">
        <v>20</v>
      </c>
    </row>
    <row r="13" spans="1:13" x14ac:dyDescent="0.35">
      <c r="A13">
        <v>200</v>
      </c>
      <c r="B13">
        <v>1</v>
      </c>
      <c r="C13">
        <v>1</v>
      </c>
      <c r="M13">
        <v>1</v>
      </c>
    </row>
    <row r="14" spans="1:13" x14ac:dyDescent="0.35">
      <c r="A14">
        <v>200</v>
      </c>
      <c r="B14">
        <v>1</v>
      </c>
      <c r="C14">
        <v>1</v>
      </c>
      <c r="M14">
        <v>1</v>
      </c>
    </row>
    <row r="15" spans="1:13" x14ac:dyDescent="0.35">
      <c r="A15">
        <v>200</v>
      </c>
      <c r="B15">
        <v>20</v>
      </c>
      <c r="C15">
        <v>15</v>
      </c>
      <c r="M15">
        <v>20</v>
      </c>
    </row>
    <row r="16" spans="1:13" x14ac:dyDescent="0.35">
      <c r="A16">
        <v>200</v>
      </c>
      <c r="B16">
        <v>20</v>
      </c>
      <c r="C16">
        <v>15</v>
      </c>
      <c r="M16">
        <v>20</v>
      </c>
    </row>
    <row r="17" spans="1:13" x14ac:dyDescent="0.35">
      <c r="A17">
        <v>200</v>
      </c>
      <c r="B17">
        <v>20</v>
      </c>
      <c r="M17">
        <v>20</v>
      </c>
    </row>
    <row r="18" spans="1:13" x14ac:dyDescent="0.35">
      <c r="A18">
        <v>200</v>
      </c>
      <c r="B18">
        <v>20</v>
      </c>
      <c r="M18">
        <v>20</v>
      </c>
    </row>
    <row r="19" spans="1:13" x14ac:dyDescent="0.35">
      <c r="A19">
        <v>200</v>
      </c>
      <c r="B19">
        <v>20</v>
      </c>
      <c r="M19">
        <v>20</v>
      </c>
    </row>
    <row r="20" spans="1:13" x14ac:dyDescent="0.35">
      <c r="A20">
        <v>200</v>
      </c>
      <c r="B20">
        <v>20</v>
      </c>
      <c r="M20">
        <v>20</v>
      </c>
    </row>
    <row r="21" spans="1:13" x14ac:dyDescent="0.35">
      <c r="B21">
        <v>20</v>
      </c>
      <c r="M21">
        <v>20</v>
      </c>
    </row>
    <row r="22" spans="1:13" x14ac:dyDescent="0.35">
      <c r="B22">
        <v>120</v>
      </c>
      <c r="M22">
        <v>120</v>
      </c>
    </row>
    <row r="23" spans="1:13" x14ac:dyDescent="0.35">
      <c r="M23">
        <v>588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743B9-E889-48BF-93E4-B1F9C2828048}">
  <sheetPr codeName="Sheet8"/>
  <dimension ref="A1:M23"/>
  <sheetViews>
    <sheetView workbookViewId="0">
      <selection activeCell="A3" sqref="A3:XFD3"/>
    </sheetView>
  </sheetViews>
  <sheetFormatPr defaultRowHeight="14.5" x14ac:dyDescent="0.35"/>
  <cols>
    <col min="8" max="8" width="16.90625" customWidth="1"/>
  </cols>
  <sheetData>
    <row r="1" spans="1:13" x14ac:dyDescent="0.35">
      <c r="A1">
        <v>100</v>
      </c>
      <c r="B1">
        <v>20</v>
      </c>
      <c r="C1">
        <v>15</v>
      </c>
      <c r="D1">
        <v>15</v>
      </c>
      <c r="I1">
        <v>15</v>
      </c>
      <c r="J1">
        <v>15</v>
      </c>
      <c r="K1">
        <v>15</v>
      </c>
      <c r="L1">
        <v>15</v>
      </c>
      <c r="M1">
        <v>20</v>
      </c>
    </row>
    <row r="2" spans="1:13" x14ac:dyDescent="0.35">
      <c r="A2">
        <v>250</v>
      </c>
      <c r="B2">
        <v>1</v>
      </c>
      <c r="C2">
        <v>1</v>
      </c>
      <c r="D2">
        <v>1</v>
      </c>
      <c r="E2">
        <v>20</v>
      </c>
      <c r="F2">
        <v>25</v>
      </c>
      <c r="I2">
        <v>1</v>
      </c>
      <c r="J2">
        <v>1</v>
      </c>
      <c r="K2">
        <v>1</v>
      </c>
      <c r="L2">
        <v>1</v>
      </c>
      <c r="M2">
        <v>1</v>
      </c>
    </row>
    <row r="3" spans="1:13" x14ac:dyDescent="0.35">
      <c r="A3">
        <v>250</v>
      </c>
      <c r="B3">
        <v>1</v>
      </c>
      <c r="C3">
        <v>1</v>
      </c>
      <c r="D3">
        <v>1</v>
      </c>
      <c r="H3">
        <v>100</v>
      </c>
      <c r="I3">
        <v>1</v>
      </c>
      <c r="J3">
        <v>1</v>
      </c>
      <c r="K3">
        <v>1</v>
      </c>
      <c r="L3">
        <v>1</v>
      </c>
      <c r="M3">
        <v>1</v>
      </c>
    </row>
    <row r="4" spans="1:13" x14ac:dyDescent="0.35">
      <c r="A4">
        <v>200</v>
      </c>
      <c r="B4">
        <v>20</v>
      </c>
      <c r="C4">
        <v>15</v>
      </c>
      <c r="D4">
        <v>15</v>
      </c>
      <c r="I4">
        <v>15</v>
      </c>
      <c r="J4">
        <v>15</v>
      </c>
      <c r="K4">
        <v>15</v>
      </c>
      <c r="L4">
        <v>15</v>
      </c>
      <c r="M4">
        <v>20</v>
      </c>
    </row>
    <row r="5" spans="1:13" x14ac:dyDescent="0.35">
      <c r="A5">
        <v>200</v>
      </c>
      <c r="B5">
        <v>20</v>
      </c>
      <c r="C5">
        <v>15</v>
      </c>
      <c r="D5">
        <v>15</v>
      </c>
      <c r="H5" s="2">
        <f>0.1+0.3</f>
        <v>0.4</v>
      </c>
      <c r="I5">
        <v>15</v>
      </c>
      <c r="J5">
        <v>15</v>
      </c>
      <c r="K5">
        <v>15</v>
      </c>
      <c r="L5">
        <v>15</v>
      </c>
      <c r="M5">
        <v>20</v>
      </c>
    </row>
    <row r="6" spans="1:13" x14ac:dyDescent="0.35">
      <c r="A6">
        <v>200</v>
      </c>
      <c r="B6">
        <v>20</v>
      </c>
      <c r="H6" s="1">
        <v>0.39999999999999997</v>
      </c>
      <c r="M6">
        <v>20</v>
      </c>
    </row>
    <row r="7" spans="1:13" x14ac:dyDescent="0.35">
      <c r="A7">
        <v>200</v>
      </c>
      <c r="B7">
        <v>20</v>
      </c>
      <c r="H7">
        <f>0.1+0.3</f>
        <v>0.4</v>
      </c>
      <c r="M7">
        <v>20</v>
      </c>
    </row>
    <row r="8" spans="1:13" x14ac:dyDescent="0.35">
      <c r="A8">
        <v>200</v>
      </c>
      <c r="B8">
        <v>20</v>
      </c>
      <c r="H8">
        <v>0.4</v>
      </c>
      <c r="M8">
        <v>20</v>
      </c>
    </row>
    <row r="9" spans="1:13" x14ac:dyDescent="0.35">
      <c r="A9">
        <v>200</v>
      </c>
      <c r="B9">
        <v>20</v>
      </c>
      <c r="M9">
        <v>20</v>
      </c>
    </row>
    <row r="10" spans="1:13" x14ac:dyDescent="0.35">
      <c r="B10">
        <v>200</v>
      </c>
      <c r="M10">
        <v>200</v>
      </c>
    </row>
    <row r="11" spans="1:13" x14ac:dyDescent="0.35">
      <c r="A11">
        <v>1525</v>
      </c>
      <c r="B11">
        <v>120</v>
      </c>
      <c r="M11">
        <v>120</v>
      </c>
    </row>
    <row r="12" spans="1:13" x14ac:dyDescent="0.35">
      <c r="A12">
        <v>5</v>
      </c>
      <c r="B12">
        <v>20</v>
      </c>
      <c r="C12">
        <v>15</v>
      </c>
      <c r="M12">
        <v>20</v>
      </c>
    </row>
    <row r="13" spans="1:13" x14ac:dyDescent="0.35">
      <c r="A13">
        <v>200</v>
      </c>
      <c r="B13">
        <v>1</v>
      </c>
      <c r="C13">
        <v>1</v>
      </c>
      <c r="M13">
        <v>1</v>
      </c>
    </row>
    <row r="14" spans="1:13" x14ac:dyDescent="0.35">
      <c r="A14">
        <v>200</v>
      </c>
      <c r="B14">
        <v>1</v>
      </c>
      <c r="C14">
        <v>1</v>
      </c>
      <c r="M14">
        <v>1</v>
      </c>
    </row>
    <row r="15" spans="1:13" x14ac:dyDescent="0.35">
      <c r="A15">
        <v>200</v>
      </c>
      <c r="B15">
        <v>20</v>
      </c>
      <c r="C15">
        <v>15</v>
      </c>
      <c r="M15">
        <v>20</v>
      </c>
    </row>
    <row r="16" spans="1:13" x14ac:dyDescent="0.35">
      <c r="A16">
        <v>200</v>
      </c>
      <c r="B16">
        <v>20</v>
      </c>
      <c r="C16">
        <v>15</v>
      </c>
      <c r="M16">
        <v>20</v>
      </c>
    </row>
    <row r="17" spans="1:13" x14ac:dyDescent="0.35">
      <c r="A17">
        <v>200</v>
      </c>
      <c r="B17">
        <v>20</v>
      </c>
      <c r="M17">
        <v>20</v>
      </c>
    </row>
    <row r="18" spans="1:13" x14ac:dyDescent="0.35">
      <c r="A18">
        <v>200</v>
      </c>
      <c r="B18">
        <v>20</v>
      </c>
      <c r="M18">
        <v>20</v>
      </c>
    </row>
    <row r="19" spans="1:13" x14ac:dyDescent="0.35">
      <c r="A19">
        <v>200</v>
      </c>
      <c r="B19">
        <v>20</v>
      </c>
      <c r="M19">
        <v>20</v>
      </c>
    </row>
    <row r="20" spans="1:13" x14ac:dyDescent="0.35">
      <c r="A20">
        <v>200</v>
      </c>
      <c r="B20">
        <v>20</v>
      </c>
      <c r="M20">
        <v>20</v>
      </c>
    </row>
    <row r="21" spans="1:13" x14ac:dyDescent="0.35">
      <c r="B21">
        <v>20</v>
      </c>
      <c r="M21">
        <v>20</v>
      </c>
    </row>
    <row r="22" spans="1:13" x14ac:dyDescent="0.35">
      <c r="B22">
        <v>120</v>
      </c>
      <c r="M22">
        <v>120</v>
      </c>
    </row>
    <row r="23" spans="1:13" x14ac:dyDescent="0.35">
      <c r="M23">
        <v>588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8036D-B175-4E04-A169-A92201E45B93}">
  <sheetPr codeName="Sheet15"/>
  <dimension ref="A1"/>
  <sheetViews>
    <sheetView workbookViewId="0">
      <selection activeCell="H12" sqref="H12"/>
    </sheetView>
  </sheetViews>
  <sheetFormatPr defaultRowHeight="14.5" x14ac:dyDescent="0.3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AC49D-7C2B-4158-89C8-A3AB613DE5C4}">
  <sheetPr codeName="Sheet1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Sheet4 (4)</vt:lpstr>
      <vt:lpstr>Sheet1</vt:lpstr>
      <vt:lpstr>Sheet5</vt:lpstr>
      <vt:lpstr>Sheet2</vt:lpstr>
      <vt:lpstr>Sheet11</vt:lpstr>
      <vt:lpstr>Sheet9</vt:lpstr>
      <vt:lpstr>Sheet8</vt:lpstr>
      <vt:lpstr>Sheet6</vt:lpstr>
      <vt:lpstr>Sheet3</vt:lpstr>
      <vt:lpstr>Hallo</vt:lpstr>
      <vt:lpstr>Sheet7</vt:lpstr>
      <vt:lpstr>Sheet4</vt:lpstr>
      <vt:lpstr>Sheet4 (3)</vt:lpstr>
      <vt:lpstr>Sheet4 (2)</vt:lpstr>
      <vt:lpstr>Sheet14</vt:lpstr>
      <vt:lpstr>Sheet15</vt:lpstr>
    </vt:vector>
  </TitlesOfParts>
  <Company>CUHK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mingouyang</dc:creator>
  <cp:lastModifiedBy>Ming Ouyang (STA)</cp:lastModifiedBy>
  <dcterms:created xsi:type="dcterms:W3CDTF">2022-07-25T05:15:07Z</dcterms:created>
  <dcterms:modified xsi:type="dcterms:W3CDTF">2024-01-25T00:29:32Z</dcterms:modified>
</cp:coreProperties>
</file>